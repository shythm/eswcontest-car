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Users\moran\OneDrive\바탕 화면\"/>
    </mc:Choice>
  </mc:AlternateContent>
  <xr:revisionPtr revIDLastSave="0" documentId="13_ncr:1_{778EB0DE-8E64-499C-A277-4D40B4BD5D23}" xr6:coauthVersionLast="46" xr6:coauthVersionMax="46" xr10:uidLastSave="{00000000-0000-0000-0000-000000000000}"/>
  <bookViews>
    <workbookView xWindow="3036" yWindow="3036" windowWidth="16584" windowHeight="9420" xr2:uid="{00000000-000D-0000-FFFF-FFFF00000000}"/>
  </bookViews>
  <sheets>
    <sheet name="시트2" sheetId="1" r:id="rId1"/>
    <sheet name="시트1" sheetId="2" r:id="rId2"/>
    <sheet name="시트1의 사본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6" i="3" l="1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Q26" i="3" s="1"/>
  <c r="Q22" i="3"/>
  <c r="Q18" i="3"/>
  <c r="Q14" i="3"/>
  <c r="Q10" i="3"/>
  <c r="Q6" i="3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Q26" i="2" s="1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Q18" i="2" s="1"/>
  <c r="P14" i="2"/>
  <c r="O14" i="2"/>
  <c r="N14" i="2"/>
  <c r="M14" i="2"/>
  <c r="L14" i="2"/>
  <c r="K14" i="2"/>
  <c r="J14" i="2"/>
  <c r="I14" i="2"/>
  <c r="H14" i="2"/>
  <c r="G14" i="2"/>
  <c r="F14" i="2"/>
  <c r="E14" i="2"/>
  <c r="Q14" i="2" s="1"/>
  <c r="D14" i="2"/>
  <c r="C14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Q10" i="2" s="1"/>
  <c r="P6" i="2"/>
  <c r="O6" i="2"/>
  <c r="N6" i="2"/>
  <c r="M6" i="2"/>
  <c r="L6" i="2"/>
  <c r="K6" i="2"/>
  <c r="J6" i="2"/>
  <c r="I6" i="2"/>
  <c r="H6" i="2"/>
  <c r="G6" i="2"/>
  <c r="F6" i="2"/>
  <c r="E6" i="2"/>
  <c r="D6" i="2"/>
  <c r="Q6" i="2" s="1"/>
  <c r="C6" i="2"/>
  <c r="Q22" i="2" l="1"/>
</calcChain>
</file>

<file path=xl/sharedStrings.xml><?xml version="1.0" encoding="utf-8"?>
<sst xmlns="http://schemas.openxmlformats.org/spreadsheetml/2006/main" count="84" uniqueCount="63">
  <si>
    <t>d1=51.83*exp( -0.001981*x)+17.8*exp( -0.0004166*x)</t>
  </si>
  <si>
    <t>d2 = 52.04*exp(  -0.001964*x)+   18.16*exp(  -0.0003931*x)</t>
  </si>
  <si>
    <t>d3 = 51.58 *exp( -0.001936*x)+  17.79*exp( -0.0003686*x)</t>
  </si>
  <si>
    <t>d4 =  57.7*exp( -0.002206 *x)+  19.1*exp(  -0.0004304*x)</t>
  </si>
  <si>
    <t>d6 =  638.6 *exp( -0.004488 *x)+    26.45 *exp( -0.000508*x)</t>
  </si>
  <si>
    <t>일반 모델 Exp2:</t>
  </si>
  <si>
    <t>f(x) = a*exp(b*x) + c*exp(d*x)</t>
  </si>
  <si>
    <t>계수(신뢰한계: 95%):</t>
  </si>
  <si>
    <t>a =       51.83  (50.32, 53.33)</t>
  </si>
  <si>
    <t>a =       52.04  (49.88, 54.21)</t>
  </si>
  <si>
    <t>a =       51.58  (50.11, 53.06)</t>
  </si>
  <si>
    <t>b =   -0.001981  (-0.002134, -0.001827)</t>
  </si>
  <si>
    <t>b =   -0.001964  (-0.00216, -0.001767)</t>
  </si>
  <si>
    <t>b =   -0.001936  (-0.002062, -0.00181)</t>
  </si>
  <si>
    <t>c =        17.8  (15.47, 20.12)</t>
  </si>
  <si>
    <t>c =       18.16  (15.41, 20.92)</t>
  </si>
  <si>
    <t>c =       17.79  (16.09, 19.49)</t>
  </si>
  <si>
    <t>d =  -0.0004166  (-0.00046, -0.0003733)</t>
  </si>
  <si>
    <t>d =  -0.0003931  (-0.0004419, -0.0003442)</t>
  </si>
  <si>
    <t>d =  -0.0003686  (-0.0003987, -0.0003384)</t>
  </si>
  <si>
    <t>피팅의 적합도:</t>
  </si>
  <si>
    <t>SSE: 0.8219</t>
  </si>
  <si>
    <t>SSE: 1.518</t>
  </si>
  <si>
    <t>SSE: 0.7452</t>
  </si>
  <si>
    <t>결정계수: 0.9997</t>
  </si>
  <si>
    <t>결정계수: 0.9994</t>
  </si>
  <si>
    <t>수정된 결정계수: 0.9997</t>
  </si>
  <si>
    <t>수정된 결정계수: 0.9994</t>
  </si>
  <si>
    <t>RMSE: 0.1471</t>
  </si>
  <si>
    <t>RMSE: 0.1999</t>
  </si>
  <si>
    <t>RMSE: 0.14</t>
  </si>
  <si>
    <t>a =        57.7  (55.13, 60.27)</t>
  </si>
  <si>
    <t>a =       638.6  (292.3, 984.9)</t>
  </si>
  <si>
    <t>b =   -0.002206  (-0.002395, -0.002017)</t>
  </si>
  <si>
    <t>b =   -0.004488  (-0.005192, -0.003784)</t>
  </si>
  <si>
    <t>c =        19.1  (16.8, 21.41)</t>
  </si>
  <si>
    <t>c =       26.45  (23.16, 29.75)</t>
  </si>
  <si>
    <t>d =  -0.0004304  (-0.0004726, -0.0003882)</t>
  </si>
  <si>
    <t>d =   -0.000508  (-0.0005637, -0.0004524)</t>
  </si>
  <si>
    <t>SSE: 1.147</t>
  </si>
  <si>
    <t>SSE: 7.398</t>
  </si>
  <si>
    <t>결정계수: 0.9996</t>
  </si>
  <si>
    <t>결정계수: 0.9973</t>
  </si>
  <si>
    <t>수정된 결정계수: 0.9995</t>
  </si>
  <si>
    <t>수정된 결정계수: 0.9971</t>
  </si>
  <si>
    <t>RMSE: 0.1738</t>
  </si>
  <si>
    <t>RMSE: 0.4412</t>
  </si>
  <si>
    <t>distance [cm]</t>
  </si>
  <si>
    <t>channel</t>
  </si>
  <si>
    <t>try</t>
  </si>
  <si>
    <r>
      <t>일반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모델</t>
    </r>
    <r>
      <rPr>
        <sz val="10"/>
        <color theme="1"/>
        <rFont val="Arial"/>
      </rPr>
      <t xml:space="preserve"> Exp2:</t>
    </r>
  </si>
  <si>
    <t xml:space="preserve">     f(x) = a*exp(b*x) + c*exp(d*x)</t>
  </si>
  <si>
    <r>
      <t>계수</t>
    </r>
    <r>
      <rPr>
        <sz val="10"/>
        <color theme="1"/>
        <rFont val="Arial"/>
      </rPr>
      <t>(</t>
    </r>
    <r>
      <rPr>
        <sz val="10"/>
        <color theme="1"/>
        <rFont val="돋움"/>
        <family val="3"/>
        <charset val="129"/>
      </rPr>
      <t>신뢰한계</t>
    </r>
    <r>
      <rPr>
        <sz val="10"/>
        <color theme="1"/>
        <rFont val="Arial"/>
      </rPr>
      <t>: 95%):</t>
    </r>
  </si>
  <si>
    <r>
      <t>피팅의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적합도</t>
    </r>
    <r>
      <rPr>
        <sz val="10"/>
        <color theme="1"/>
        <rFont val="Arial"/>
      </rPr>
      <t>:</t>
    </r>
  </si>
  <si>
    <t xml:space="preserve">  SSE: 2.769</t>
  </si>
  <si>
    <r>
      <t xml:space="preserve">  </t>
    </r>
    <r>
      <rPr>
        <sz val="10"/>
        <color theme="1"/>
        <rFont val="돋움"/>
        <family val="3"/>
        <charset val="129"/>
      </rPr>
      <t>결정계수</t>
    </r>
    <r>
      <rPr>
        <sz val="10"/>
        <color theme="1"/>
        <rFont val="Arial"/>
      </rPr>
      <t>: 0.999</t>
    </r>
  </si>
  <si>
    <r>
      <t xml:space="preserve">  </t>
    </r>
    <r>
      <rPr>
        <sz val="10"/>
        <color theme="1"/>
        <rFont val="돋움"/>
        <family val="3"/>
        <charset val="129"/>
      </rPr>
      <t>수정된</t>
    </r>
    <r>
      <rPr>
        <sz val="10"/>
        <color theme="1"/>
        <rFont val="Arial"/>
      </rPr>
      <t xml:space="preserve"> </t>
    </r>
    <r>
      <rPr>
        <sz val="10"/>
        <color theme="1"/>
        <rFont val="돋움"/>
        <family val="3"/>
        <charset val="129"/>
      </rPr>
      <t>결정계수</t>
    </r>
    <r>
      <rPr>
        <sz val="10"/>
        <color theme="1"/>
        <rFont val="Arial"/>
      </rPr>
      <t>: 0.9989</t>
    </r>
  </si>
  <si>
    <t xml:space="preserve">  RMSE: 0.2699</t>
  </si>
  <si>
    <t xml:space="preserve">       a =       904.3  (645.6, 1163)</t>
    <phoneticPr fontId="2" type="noConversion"/>
  </si>
  <si>
    <t>d5 = 904.3 *exp( -0.004111*x)+  24.61*exp(  -0.0004845*x)</t>
    <phoneticPr fontId="2" type="noConversion"/>
  </si>
  <si>
    <t xml:space="preserve">       b =   -0.004669  (-0.005032, -0.004307)</t>
    <phoneticPr fontId="2" type="noConversion"/>
  </si>
  <si>
    <t xml:space="preserve">       c =       23.23  (21.43, 25.03)</t>
    <phoneticPr fontId="2" type="noConversion"/>
  </si>
  <si>
    <t xml:space="preserve">       d =  -0.0004703  (-0.0005051, -0.0004356)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</si>
</sst>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 x14ac:knownFonts="1">
    <font>
      <sz val="10"/>
      <color rgb="FF000000"/>
      <name val="Arial"/>
    </font>
    <font>
      <sz val="10"/>
      <color theme="1"/>
      <name val="Arial"/>
    </font>
    <font>
      <sz val="8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176" fontId="1" fillId="0" borderId="0" xfId="0" applyNumberFormat="1" applyFont="1"/>
    <xf numFmtId="0" fontId="1" fillId="0" borderId="0" xfId="0" applyFont="1"/>
    <xf numFmtId="0" fontId="3" fillId="0" borderId="0" xfId="0" applyFont="1" applyAlignment="1"/>
    <xf numFmtId="0" fontId="4" fillId="0" borderId="0" xfId="0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0</xdr:row>
      <xdr:rowOff>0</xdr:rowOff>
    </xdr:from>
    <xdr:ext cx="10372725" cy="8467725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G45"/>
  <sheetViews>
    <sheetView tabSelected="1" topLeftCell="A19" workbookViewId="0">
      <selection activeCell="D39" sqref="D39"/>
    </sheetView>
  </sheetViews>
  <sheetFormatPr defaultColWidth="14.44140625" defaultRowHeight="15.75" customHeight="1" x14ac:dyDescent="0.25"/>
  <sheetData>
    <row r="2" spans="1:7" x14ac:dyDescent="0.25">
      <c r="A2" s="1" t="s">
        <v>0</v>
      </c>
    </row>
    <row r="4" spans="1:7" x14ac:dyDescent="0.25">
      <c r="A4" s="1" t="s">
        <v>1</v>
      </c>
    </row>
    <row r="6" spans="1:7" x14ac:dyDescent="0.25">
      <c r="A6" s="1" t="s">
        <v>2</v>
      </c>
    </row>
    <row r="8" spans="1:7" x14ac:dyDescent="0.25">
      <c r="A8" s="1" t="s">
        <v>3</v>
      </c>
    </row>
    <row r="10" spans="1:7" x14ac:dyDescent="0.25">
      <c r="A10" s="6" t="s">
        <v>59</v>
      </c>
    </row>
    <row r="12" spans="1:7" x14ac:dyDescent="0.25">
      <c r="A12" s="1" t="s">
        <v>4</v>
      </c>
    </row>
    <row r="15" spans="1:7" x14ac:dyDescent="0.25">
      <c r="A15" s="1">
        <v>1</v>
      </c>
      <c r="D15" s="1">
        <v>2</v>
      </c>
      <c r="G15" s="1">
        <v>3</v>
      </c>
    </row>
    <row r="16" spans="1:7" x14ac:dyDescent="0.25">
      <c r="A16" s="1" t="s">
        <v>5</v>
      </c>
      <c r="D16" s="1" t="s">
        <v>5</v>
      </c>
      <c r="G16" s="1" t="s">
        <v>5</v>
      </c>
    </row>
    <row r="17" spans="1:7" x14ac:dyDescent="0.25">
      <c r="A17" s="1" t="s">
        <v>6</v>
      </c>
      <c r="D17" s="1" t="s">
        <v>6</v>
      </c>
      <c r="G17" s="1" t="s">
        <v>6</v>
      </c>
    </row>
    <row r="18" spans="1:7" x14ac:dyDescent="0.25">
      <c r="A18" s="1" t="s">
        <v>7</v>
      </c>
      <c r="D18" s="1" t="s">
        <v>7</v>
      </c>
      <c r="G18" s="1" t="s">
        <v>7</v>
      </c>
    </row>
    <row r="19" spans="1:7" x14ac:dyDescent="0.25">
      <c r="A19" s="1" t="s">
        <v>8</v>
      </c>
      <c r="D19" s="1" t="s">
        <v>9</v>
      </c>
      <c r="G19" s="1" t="s">
        <v>10</v>
      </c>
    </row>
    <row r="20" spans="1:7" x14ac:dyDescent="0.25">
      <c r="A20" s="1" t="s">
        <v>11</v>
      </c>
      <c r="D20" s="1" t="s">
        <v>12</v>
      </c>
      <c r="G20" s="1" t="s">
        <v>13</v>
      </c>
    </row>
    <row r="21" spans="1:7" x14ac:dyDescent="0.25">
      <c r="A21" s="1" t="s">
        <v>14</v>
      </c>
      <c r="D21" s="1" t="s">
        <v>15</v>
      </c>
      <c r="G21" s="1" t="s">
        <v>16</v>
      </c>
    </row>
    <row r="22" spans="1:7" x14ac:dyDescent="0.25">
      <c r="A22" s="1" t="s">
        <v>17</v>
      </c>
      <c r="D22" s="1" t="s">
        <v>18</v>
      </c>
      <c r="G22" s="1" t="s">
        <v>19</v>
      </c>
    </row>
    <row r="24" spans="1:7" x14ac:dyDescent="0.25">
      <c r="A24" s="1" t="s">
        <v>20</v>
      </c>
      <c r="D24" s="1" t="s">
        <v>20</v>
      </c>
      <c r="G24" s="1" t="s">
        <v>20</v>
      </c>
    </row>
    <row r="25" spans="1:7" x14ac:dyDescent="0.25">
      <c r="A25" s="1" t="s">
        <v>21</v>
      </c>
      <c r="D25" s="1" t="s">
        <v>22</v>
      </c>
      <c r="G25" s="1" t="s">
        <v>23</v>
      </c>
    </row>
    <row r="26" spans="1:7" x14ac:dyDescent="0.25">
      <c r="A26" s="1" t="s">
        <v>24</v>
      </c>
      <c r="D26" s="1" t="s">
        <v>25</v>
      </c>
      <c r="G26" s="1" t="s">
        <v>24</v>
      </c>
    </row>
    <row r="27" spans="1:7" x14ac:dyDescent="0.25">
      <c r="A27" s="1" t="s">
        <v>26</v>
      </c>
      <c r="D27" s="1" t="s">
        <v>27</v>
      </c>
      <c r="G27" s="1" t="s">
        <v>26</v>
      </c>
    </row>
    <row r="28" spans="1:7" x14ac:dyDescent="0.25">
      <c r="A28" s="1" t="s">
        <v>28</v>
      </c>
      <c r="D28" s="1" t="s">
        <v>29</v>
      </c>
      <c r="G28" s="1" t="s">
        <v>30</v>
      </c>
    </row>
    <row r="30" spans="1:7" x14ac:dyDescent="0.25">
      <c r="A30" s="1"/>
      <c r="C30" s="1"/>
    </row>
    <row r="32" spans="1:7" x14ac:dyDescent="0.25">
      <c r="A32" s="1">
        <v>4</v>
      </c>
      <c r="D32" s="1">
        <v>5</v>
      </c>
      <c r="G32" s="1">
        <v>6</v>
      </c>
    </row>
    <row r="33" spans="1:7" x14ac:dyDescent="0.25">
      <c r="A33" s="1" t="s">
        <v>5</v>
      </c>
      <c r="D33" s="5" t="s">
        <v>50</v>
      </c>
      <c r="G33" s="1" t="s">
        <v>5</v>
      </c>
    </row>
    <row r="34" spans="1:7" x14ac:dyDescent="0.25">
      <c r="A34" s="1" t="s">
        <v>6</v>
      </c>
      <c r="D34" s="1" t="s">
        <v>51</v>
      </c>
      <c r="G34" s="1" t="s">
        <v>6</v>
      </c>
    </row>
    <row r="35" spans="1:7" x14ac:dyDescent="0.25">
      <c r="A35" s="1" t="s">
        <v>7</v>
      </c>
      <c r="D35" s="5" t="s">
        <v>52</v>
      </c>
      <c r="G35" s="1" t="s">
        <v>7</v>
      </c>
    </row>
    <row r="36" spans="1:7" x14ac:dyDescent="0.25">
      <c r="A36" s="1" t="s">
        <v>31</v>
      </c>
      <c r="D36" s="6" t="s">
        <v>58</v>
      </c>
      <c r="G36" s="1" t="s">
        <v>32</v>
      </c>
    </row>
    <row r="37" spans="1:7" x14ac:dyDescent="0.25">
      <c r="A37" s="1" t="s">
        <v>33</v>
      </c>
      <c r="D37" s="6" t="s">
        <v>60</v>
      </c>
      <c r="G37" s="1" t="s">
        <v>34</v>
      </c>
    </row>
    <row r="38" spans="1:7" x14ac:dyDescent="0.25">
      <c r="A38" s="1" t="s">
        <v>35</v>
      </c>
      <c r="D38" s="6" t="s">
        <v>61</v>
      </c>
      <c r="G38" s="1" t="s">
        <v>36</v>
      </c>
    </row>
    <row r="39" spans="1:7" x14ac:dyDescent="0.25">
      <c r="A39" s="1" t="s">
        <v>37</v>
      </c>
      <c r="D39" s="6" t="s">
        <v>62</v>
      </c>
      <c r="G39" s="1" t="s">
        <v>38</v>
      </c>
    </row>
    <row r="41" spans="1:7" x14ac:dyDescent="0.25">
      <c r="A41" s="1" t="s">
        <v>20</v>
      </c>
      <c r="D41" s="5" t="s">
        <v>53</v>
      </c>
      <c r="G41" s="1" t="s">
        <v>20</v>
      </c>
    </row>
    <row r="42" spans="1:7" x14ac:dyDescent="0.25">
      <c r="A42" s="1" t="s">
        <v>39</v>
      </c>
      <c r="D42" s="1" t="s">
        <v>54</v>
      </c>
      <c r="G42" s="1" t="s">
        <v>40</v>
      </c>
    </row>
    <row r="43" spans="1:7" x14ac:dyDescent="0.25">
      <c r="A43" s="1" t="s">
        <v>41</v>
      </c>
      <c r="D43" s="1" t="s">
        <v>55</v>
      </c>
      <c r="G43" s="1" t="s">
        <v>42</v>
      </c>
    </row>
    <row r="44" spans="1:7" x14ac:dyDescent="0.25">
      <c r="A44" s="1" t="s">
        <v>43</v>
      </c>
      <c r="D44" s="1" t="s">
        <v>56</v>
      </c>
      <c r="G44" s="1" t="s">
        <v>44</v>
      </c>
    </row>
    <row r="45" spans="1:7" x14ac:dyDescent="0.25">
      <c r="A45" s="1" t="s">
        <v>45</v>
      </c>
      <c r="D45" s="1" t="s">
        <v>57</v>
      </c>
      <c r="G45" s="1" t="s">
        <v>46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26"/>
  <sheetViews>
    <sheetView topLeftCell="B1" workbookViewId="0">
      <pane ySplit="2" topLeftCell="A3" activePane="bottomLeft" state="frozen"/>
      <selection pane="bottomLeft" activeCell="C19" sqref="C19:P21"/>
    </sheetView>
  </sheetViews>
  <sheetFormatPr defaultColWidth="14.44140625" defaultRowHeight="15.75" customHeight="1" x14ac:dyDescent="0.25"/>
  <cols>
    <col min="3" max="22" width="8.109375" customWidth="1"/>
  </cols>
  <sheetData>
    <row r="1" spans="1:18" x14ac:dyDescent="0.25">
      <c r="C1" s="1" t="s">
        <v>47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8" x14ac:dyDescent="0.25">
      <c r="A2" s="1" t="s">
        <v>48</v>
      </c>
      <c r="B2" s="1" t="s">
        <v>49</v>
      </c>
      <c r="C2" s="2">
        <v>4</v>
      </c>
      <c r="D2" s="2">
        <v>6</v>
      </c>
      <c r="E2" s="2">
        <v>8</v>
      </c>
      <c r="F2" s="2">
        <v>10</v>
      </c>
      <c r="G2" s="2">
        <v>12</v>
      </c>
      <c r="H2" s="2">
        <v>14</v>
      </c>
      <c r="I2" s="2">
        <v>16</v>
      </c>
      <c r="J2" s="2">
        <v>18</v>
      </c>
      <c r="K2" s="2">
        <v>20</v>
      </c>
      <c r="L2" s="2">
        <v>22</v>
      </c>
      <c r="M2" s="2">
        <v>24</v>
      </c>
      <c r="N2" s="2">
        <v>26</v>
      </c>
      <c r="O2" s="2">
        <v>28</v>
      </c>
      <c r="P2" s="2">
        <v>30</v>
      </c>
    </row>
    <row r="3" spans="1:18" x14ac:dyDescent="0.25">
      <c r="A3" s="1">
        <v>1</v>
      </c>
      <c r="B3" s="1">
        <v>1</v>
      </c>
      <c r="C3" s="1">
        <v>3608</v>
      </c>
      <c r="D3" s="1">
        <v>2706</v>
      </c>
      <c r="E3" s="1">
        <v>2149</v>
      </c>
      <c r="F3" s="1">
        <v>1780</v>
      </c>
      <c r="G3" s="1">
        <v>1526</v>
      </c>
      <c r="H3" s="1">
        <v>1335</v>
      </c>
      <c r="I3" s="1">
        <v>1167</v>
      </c>
      <c r="J3" s="1">
        <v>1040</v>
      </c>
      <c r="K3" s="1">
        <v>944</v>
      </c>
      <c r="L3" s="1">
        <v>848</v>
      </c>
      <c r="M3" s="1">
        <v>785</v>
      </c>
      <c r="N3" s="1">
        <v>711</v>
      </c>
      <c r="O3" s="1">
        <v>647</v>
      </c>
      <c r="P3" s="1">
        <v>582</v>
      </c>
    </row>
    <row r="4" spans="1:18" x14ac:dyDescent="0.25">
      <c r="B4" s="1">
        <v>2</v>
      </c>
      <c r="C4" s="1">
        <v>3608</v>
      </c>
      <c r="D4" s="1">
        <v>2706</v>
      </c>
      <c r="E4" s="1">
        <v>2147</v>
      </c>
      <c r="F4" s="1">
        <v>1781</v>
      </c>
      <c r="G4" s="1">
        <v>1526</v>
      </c>
      <c r="H4" s="1">
        <v>1336</v>
      </c>
      <c r="I4" s="1">
        <v>1167</v>
      </c>
      <c r="J4" s="1">
        <v>1040</v>
      </c>
      <c r="K4" s="1">
        <v>944</v>
      </c>
      <c r="L4" s="1">
        <v>848</v>
      </c>
      <c r="M4" s="1">
        <v>785</v>
      </c>
      <c r="N4" s="1">
        <v>711</v>
      </c>
      <c r="O4" s="1">
        <v>647</v>
      </c>
      <c r="P4" s="1">
        <v>582</v>
      </c>
    </row>
    <row r="5" spans="1:18" x14ac:dyDescent="0.25">
      <c r="B5" s="1">
        <v>3</v>
      </c>
      <c r="C5" s="1">
        <v>3609</v>
      </c>
      <c r="D5" s="1">
        <v>2705</v>
      </c>
      <c r="E5" s="1">
        <v>2141</v>
      </c>
      <c r="F5" s="1">
        <v>1780</v>
      </c>
      <c r="G5" s="1">
        <v>1526</v>
      </c>
      <c r="H5" s="1">
        <v>1335</v>
      </c>
      <c r="I5" s="1">
        <v>1167</v>
      </c>
      <c r="J5" s="1">
        <v>1040</v>
      </c>
      <c r="K5" s="1">
        <v>944</v>
      </c>
      <c r="L5" s="1">
        <v>847</v>
      </c>
      <c r="M5" s="1">
        <v>785</v>
      </c>
      <c r="N5" s="1">
        <v>711</v>
      </c>
      <c r="O5" s="1">
        <v>646</v>
      </c>
      <c r="P5" s="1">
        <v>603</v>
      </c>
    </row>
    <row r="6" spans="1:18" x14ac:dyDescent="0.25">
      <c r="C6" s="3">
        <f t="shared" ref="C6:P6" si="0">STDEV(C3:C5)</f>
        <v>0.57735026918962584</v>
      </c>
      <c r="D6" s="3">
        <f t="shared" si="0"/>
        <v>0.57735026918962584</v>
      </c>
      <c r="E6" s="3">
        <f t="shared" si="0"/>
        <v>4.1633319989322661</v>
      </c>
      <c r="F6" s="3">
        <f t="shared" si="0"/>
        <v>0.57735026918962584</v>
      </c>
      <c r="G6" s="3">
        <f t="shared" si="0"/>
        <v>0</v>
      </c>
      <c r="H6" s="3">
        <f t="shared" si="0"/>
        <v>0.57735026918962584</v>
      </c>
      <c r="I6" s="3">
        <f t="shared" si="0"/>
        <v>0</v>
      </c>
      <c r="J6" s="3">
        <f t="shared" si="0"/>
        <v>0</v>
      </c>
      <c r="K6" s="3">
        <f t="shared" si="0"/>
        <v>0</v>
      </c>
      <c r="L6" s="3">
        <f t="shared" si="0"/>
        <v>0.57735026918962573</v>
      </c>
      <c r="M6" s="3">
        <f t="shared" si="0"/>
        <v>0</v>
      </c>
      <c r="N6" s="3">
        <f t="shared" si="0"/>
        <v>0</v>
      </c>
      <c r="O6" s="3">
        <f t="shared" si="0"/>
        <v>0.57735026918962573</v>
      </c>
      <c r="P6" s="3">
        <f t="shared" si="0"/>
        <v>12.124355652982141</v>
      </c>
      <c r="Q6" s="3">
        <f>AVERAGE(C6:P6)</f>
        <v>1.4108420905037258</v>
      </c>
      <c r="R6" s="1">
        <v>1</v>
      </c>
    </row>
    <row r="7" spans="1:18" x14ac:dyDescent="0.25">
      <c r="A7" s="1">
        <v>2</v>
      </c>
      <c r="B7" s="1">
        <v>1</v>
      </c>
      <c r="C7" s="1">
        <v>3901</v>
      </c>
      <c r="D7" s="1">
        <v>2876</v>
      </c>
      <c r="E7" s="1">
        <v>2257</v>
      </c>
      <c r="F7" s="1">
        <v>1883</v>
      </c>
      <c r="G7" s="1">
        <v>1604</v>
      </c>
      <c r="H7" s="1">
        <v>1378</v>
      </c>
      <c r="I7" s="1">
        <v>1218</v>
      </c>
      <c r="J7" s="1">
        <v>1091</v>
      </c>
      <c r="K7" s="1">
        <v>965</v>
      </c>
      <c r="L7" s="1">
        <v>906</v>
      </c>
      <c r="M7" s="1">
        <v>793</v>
      </c>
      <c r="N7" s="1">
        <v>731</v>
      </c>
      <c r="O7" s="1">
        <v>663</v>
      </c>
      <c r="P7" s="1">
        <v>611</v>
      </c>
    </row>
    <row r="8" spans="1:18" x14ac:dyDescent="0.25">
      <c r="B8" s="1">
        <v>2</v>
      </c>
      <c r="C8" s="1">
        <v>3900</v>
      </c>
      <c r="D8" s="1">
        <v>2877</v>
      </c>
      <c r="E8" s="1">
        <v>2260</v>
      </c>
      <c r="F8" s="1">
        <v>1881</v>
      </c>
      <c r="G8" s="1">
        <v>1602</v>
      </c>
      <c r="H8" s="1">
        <v>1379</v>
      </c>
      <c r="I8" s="1">
        <v>1216</v>
      </c>
      <c r="J8" s="1">
        <v>1095</v>
      </c>
      <c r="K8" s="1">
        <v>964</v>
      </c>
      <c r="L8" s="1">
        <v>889</v>
      </c>
      <c r="M8" s="1">
        <v>794</v>
      </c>
      <c r="N8" s="1">
        <v>728</v>
      </c>
      <c r="O8" s="1">
        <v>665</v>
      </c>
      <c r="P8" s="1">
        <v>604</v>
      </c>
    </row>
    <row r="9" spans="1:18" x14ac:dyDescent="0.25">
      <c r="B9" s="1">
        <v>3</v>
      </c>
      <c r="C9" s="1">
        <v>3901</v>
      </c>
      <c r="D9" s="1">
        <v>2880</v>
      </c>
      <c r="E9" s="1">
        <v>2260</v>
      </c>
      <c r="F9" s="1">
        <v>1881</v>
      </c>
      <c r="G9" s="1">
        <v>1603</v>
      </c>
      <c r="H9" s="1">
        <v>1378</v>
      </c>
      <c r="I9" s="1">
        <v>1219</v>
      </c>
      <c r="J9" s="1">
        <v>1095</v>
      </c>
      <c r="K9" s="1">
        <v>967</v>
      </c>
      <c r="L9" s="1">
        <v>905</v>
      </c>
      <c r="M9" s="1">
        <v>794</v>
      </c>
      <c r="N9" s="1">
        <v>732</v>
      </c>
      <c r="O9" s="1">
        <v>668</v>
      </c>
      <c r="P9" s="1">
        <v>629</v>
      </c>
    </row>
    <row r="10" spans="1:18" x14ac:dyDescent="0.25">
      <c r="C10" s="3">
        <f t="shared" ref="C10:P10" si="1">STDEV(C7:C9)</f>
        <v>0.57735026918962584</v>
      </c>
      <c r="D10" s="3">
        <f t="shared" si="1"/>
        <v>2.0816659994661326</v>
      </c>
      <c r="E10" s="3">
        <f t="shared" si="1"/>
        <v>1.7320508075688772</v>
      </c>
      <c r="F10" s="3">
        <f t="shared" si="1"/>
        <v>1.1547005383792515</v>
      </c>
      <c r="G10" s="3">
        <f t="shared" si="1"/>
        <v>1</v>
      </c>
      <c r="H10" s="3">
        <f t="shared" si="1"/>
        <v>0.57735026918962584</v>
      </c>
      <c r="I10" s="3">
        <f t="shared" si="1"/>
        <v>1.5275252316519465</v>
      </c>
      <c r="J10" s="3">
        <f t="shared" si="1"/>
        <v>2.3094010767585034</v>
      </c>
      <c r="K10" s="3">
        <f t="shared" si="1"/>
        <v>1.5275252316519468</v>
      </c>
      <c r="L10" s="3">
        <f t="shared" si="1"/>
        <v>9.5393920141694561</v>
      </c>
      <c r="M10" s="3">
        <f t="shared" si="1"/>
        <v>0.57735026918962573</v>
      </c>
      <c r="N10" s="3">
        <f t="shared" si="1"/>
        <v>2.0816659994661331</v>
      </c>
      <c r="O10" s="3">
        <f t="shared" si="1"/>
        <v>2.5166114784235836</v>
      </c>
      <c r="P10" s="3">
        <f t="shared" si="1"/>
        <v>12.897028081435403</v>
      </c>
      <c r="Q10" s="3">
        <f>AVERAGE(C10:P10)</f>
        <v>2.8642583761814366</v>
      </c>
      <c r="R10" s="1">
        <v>2</v>
      </c>
    </row>
    <row r="11" spans="1:18" x14ac:dyDescent="0.25">
      <c r="A11" s="1">
        <v>3</v>
      </c>
      <c r="B11" s="1">
        <v>1</v>
      </c>
      <c r="C11" s="1">
        <v>4085</v>
      </c>
      <c r="D11" s="1">
        <v>3012</v>
      </c>
      <c r="E11" s="1">
        <v>2340</v>
      </c>
      <c r="F11" s="1">
        <v>1907</v>
      </c>
      <c r="G11" s="1">
        <v>1641</v>
      </c>
      <c r="H11" s="1">
        <v>1420</v>
      </c>
      <c r="I11" s="1">
        <v>1229</v>
      </c>
      <c r="J11" s="1">
        <v>1091</v>
      </c>
      <c r="K11" s="1">
        <v>991</v>
      </c>
      <c r="L11" s="1">
        <v>896</v>
      </c>
      <c r="M11" s="1">
        <v>803</v>
      </c>
      <c r="N11" s="1">
        <v>739</v>
      </c>
      <c r="O11" s="1">
        <v>675</v>
      </c>
      <c r="P11" s="1">
        <v>608</v>
      </c>
    </row>
    <row r="12" spans="1:18" x14ac:dyDescent="0.25">
      <c r="B12" s="1">
        <v>2</v>
      </c>
      <c r="C12" s="1">
        <v>4085</v>
      </c>
      <c r="D12" s="1">
        <v>3012</v>
      </c>
      <c r="E12" s="1">
        <v>2341</v>
      </c>
      <c r="F12" s="1">
        <v>1907</v>
      </c>
      <c r="G12" s="1">
        <v>1641</v>
      </c>
      <c r="H12" s="1">
        <v>1421</v>
      </c>
      <c r="I12" s="1">
        <v>1229</v>
      </c>
      <c r="J12" s="1">
        <v>1091</v>
      </c>
      <c r="K12" s="1">
        <v>991</v>
      </c>
      <c r="L12" s="1">
        <v>896</v>
      </c>
      <c r="M12" s="1">
        <v>803</v>
      </c>
      <c r="N12" s="1">
        <v>739</v>
      </c>
      <c r="O12" s="1">
        <v>675</v>
      </c>
      <c r="P12" s="1">
        <v>608</v>
      </c>
    </row>
    <row r="13" spans="1:18" x14ac:dyDescent="0.25">
      <c r="B13" s="1">
        <v>3</v>
      </c>
      <c r="C13" s="1">
        <v>4086</v>
      </c>
      <c r="D13" s="1">
        <v>3012</v>
      </c>
      <c r="E13" s="1">
        <v>2340</v>
      </c>
      <c r="F13" s="1">
        <v>1907</v>
      </c>
      <c r="G13" s="1">
        <v>1641</v>
      </c>
      <c r="H13" s="1">
        <v>1420</v>
      </c>
      <c r="I13" s="1">
        <v>1229</v>
      </c>
      <c r="J13" s="1">
        <v>1091</v>
      </c>
      <c r="K13" s="1">
        <v>991</v>
      </c>
      <c r="L13" s="1">
        <v>870</v>
      </c>
      <c r="M13" s="1">
        <v>803</v>
      </c>
      <c r="N13" s="1">
        <v>739</v>
      </c>
      <c r="O13" s="1">
        <v>675</v>
      </c>
      <c r="P13" s="1">
        <v>608</v>
      </c>
    </row>
    <row r="14" spans="1:18" x14ac:dyDescent="0.25">
      <c r="C14" s="3">
        <f t="shared" ref="C14:P14" si="2">STDEV(C11:C13)</f>
        <v>0.57735026918962584</v>
      </c>
      <c r="D14" s="3">
        <f t="shared" si="2"/>
        <v>0</v>
      </c>
      <c r="E14" s="3">
        <f t="shared" si="2"/>
        <v>0.57735026918962584</v>
      </c>
      <c r="F14" s="3">
        <f t="shared" si="2"/>
        <v>0</v>
      </c>
      <c r="G14" s="3">
        <f t="shared" si="2"/>
        <v>0</v>
      </c>
      <c r="H14" s="3">
        <f t="shared" si="2"/>
        <v>0.57735026918962584</v>
      </c>
      <c r="I14" s="3">
        <f t="shared" si="2"/>
        <v>0</v>
      </c>
      <c r="J14" s="3">
        <f t="shared" si="2"/>
        <v>0</v>
      </c>
      <c r="K14" s="3">
        <f t="shared" si="2"/>
        <v>0</v>
      </c>
      <c r="L14" s="3">
        <f t="shared" si="2"/>
        <v>15.01110699893027</v>
      </c>
      <c r="M14" s="3">
        <f t="shared" si="2"/>
        <v>0</v>
      </c>
      <c r="N14" s="3">
        <f t="shared" si="2"/>
        <v>0</v>
      </c>
      <c r="O14" s="3">
        <f t="shared" si="2"/>
        <v>0</v>
      </c>
      <c r="P14" s="3">
        <f t="shared" si="2"/>
        <v>0</v>
      </c>
      <c r="Q14" s="3">
        <f>AVERAGE(C14:P14)</f>
        <v>1.1959398433213677</v>
      </c>
      <c r="R14" s="1">
        <v>3</v>
      </c>
    </row>
    <row r="15" spans="1:18" x14ac:dyDescent="0.25">
      <c r="A15" s="1">
        <v>4</v>
      </c>
      <c r="B15" s="1">
        <v>1</v>
      </c>
      <c r="C15" s="1">
        <v>3659</v>
      </c>
      <c r="D15" s="1">
        <v>2755</v>
      </c>
      <c r="E15" s="1">
        <v>2156</v>
      </c>
      <c r="F15" s="1">
        <v>1758</v>
      </c>
      <c r="G15" s="1">
        <v>1525</v>
      </c>
      <c r="H15" s="1">
        <v>1326</v>
      </c>
      <c r="I15" s="1">
        <v>1163</v>
      </c>
      <c r="J15" s="1">
        <v>1039</v>
      </c>
      <c r="K15" s="1">
        <v>943</v>
      </c>
      <c r="L15" s="1">
        <v>851</v>
      </c>
      <c r="M15" s="1">
        <v>786</v>
      </c>
      <c r="N15" s="1">
        <v>718</v>
      </c>
      <c r="O15" s="1">
        <v>647</v>
      </c>
      <c r="P15" s="1">
        <v>605</v>
      </c>
    </row>
    <row r="16" spans="1:18" x14ac:dyDescent="0.25">
      <c r="B16" s="1">
        <v>2</v>
      </c>
      <c r="C16" s="1">
        <v>3655</v>
      </c>
      <c r="D16" s="1">
        <v>2757</v>
      </c>
      <c r="E16" s="1">
        <v>2154</v>
      </c>
      <c r="F16" s="1">
        <v>1759</v>
      </c>
      <c r="G16" s="1">
        <v>1526</v>
      </c>
      <c r="H16" s="1">
        <v>1337</v>
      </c>
      <c r="I16" s="1">
        <v>1170</v>
      </c>
      <c r="J16" s="1">
        <v>1036</v>
      </c>
      <c r="K16" s="1">
        <v>940</v>
      </c>
      <c r="L16" s="1">
        <v>845</v>
      </c>
      <c r="M16" s="1">
        <v>781</v>
      </c>
      <c r="N16" s="1">
        <v>716</v>
      </c>
      <c r="O16" s="1">
        <v>643</v>
      </c>
      <c r="P16" s="1">
        <v>607</v>
      </c>
    </row>
    <row r="17" spans="1:18" x14ac:dyDescent="0.25">
      <c r="B17" s="1">
        <v>3</v>
      </c>
      <c r="C17" s="1">
        <v>3656</v>
      </c>
      <c r="D17" s="1">
        <v>2751</v>
      </c>
      <c r="E17" s="1">
        <v>2158</v>
      </c>
      <c r="F17" s="1">
        <v>1754</v>
      </c>
      <c r="G17" s="1">
        <v>1516</v>
      </c>
      <c r="H17" s="1">
        <v>1335</v>
      </c>
      <c r="I17" s="1">
        <v>1164</v>
      </c>
      <c r="J17" s="1">
        <v>1036</v>
      </c>
      <c r="K17" s="1">
        <v>944</v>
      </c>
      <c r="L17" s="1">
        <v>843</v>
      </c>
      <c r="M17" s="1">
        <v>785</v>
      </c>
      <c r="N17" s="1">
        <v>712</v>
      </c>
      <c r="O17" s="1">
        <v>649</v>
      </c>
      <c r="P17" s="1">
        <v>616</v>
      </c>
    </row>
    <row r="18" spans="1:18" x14ac:dyDescent="0.25">
      <c r="C18" s="3">
        <f t="shared" ref="C18:M18" si="3">STDEV(C15:C17)</f>
        <v>2.0816659994661326</v>
      </c>
      <c r="D18" s="3">
        <f t="shared" si="3"/>
        <v>3.0550504633038931</v>
      </c>
      <c r="E18" s="3">
        <f t="shared" si="3"/>
        <v>2</v>
      </c>
      <c r="F18" s="3">
        <f t="shared" si="3"/>
        <v>2.6457513110645907</v>
      </c>
      <c r="G18" s="3">
        <f t="shared" si="3"/>
        <v>5.5075705472861021</v>
      </c>
      <c r="H18" s="3">
        <f t="shared" si="3"/>
        <v>5.8594652770823146</v>
      </c>
      <c r="I18" s="3">
        <f t="shared" si="3"/>
        <v>3.7859388972001824</v>
      </c>
      <c r="J18" s="3">
        <f t="shared" si="3"/>
        <v>1.7320508075688772</v>
      </c>
      <c r="K18" s="3">
        <f t="shared" si="3"/>
        <v>2.0816659994661331</v>
      </c>
      <c r="L18" s="3">
        <f t="shared" si="3"/>
        <v>4.1633319989322652</v>
      </c>
      <c r="M18" s="3">
        <f t="shared" si="3"/>
        <v>2.6457513110645907</v>
      </c>
      <c r="N18" s="3">
        <f>STDEV(O15:O17)</f>
        <v>3.0550504633038931</v>
      </c>
      <c r="O18" s="3">
        <f t="shared" ref="O18:P18" si="4">STDEV(O15:O17)</f>
        <v>3.0550504633038931</v>
      </c>
      <c r="P18" s="3">
        <f t="shared" si="4"/>
        <v>5.8594652770823146</v>
      </c>
      <c r="Q18" s="3">
        <f>AVERAGE(C18:P18)</f>
        <v>3.3948434868660846</v>
      </c>
      <c r="R18" s="1">
        <v>4</v>
      </c>
    </row>
    <row r="19" spans="1:18" x14ac:dyDescent="0.25">
      <c r="A19" s="1">
        <v>5</v>
      </c>
      <c r="B19" s="1">
        <v>1</v>
      </c>
      <c r="C19" s="1">
        <v>3957</v>
      </c>
      <c r="D19" s="1">
        <v>2801</v>
      </c>
      <c r="E19" s="1">
        <v>2215</v>
      </c>
      <c r="F19" s="1">
        <v>1779</v>
      </c>
      <c r="G19" s="1">
        <v>1557</v>
      </c>
      <c r="H19" s="1">
        <v>1367</v>
      </c>
      <c r="I19" s="1">
        <v>1240</v>
      </c>
      <c r="J19" s="1">
        <v>1139</v>
      </c>
      <c r="K19" s="1">
        <v>1074</v>
      </c>
      <c r="L19" s="1">
        <v>1010</v>
      </c>
      <c r="M19" s="1">
        <v>977</v>
      </c>
      <c r="N19" s="1">
        <v>946</v>
      </c>
      <c r="O19" s="1">
        <v>914</v>
      </c>
      <c r="P19" s="1">
        <v>883</v>
      </c>
    </row>
    <row r="20" spans="1:18" x14ac:dyDescent="0.25">
      <c r="B20" s="1">
        <v>2</v>
      </c>
      <c r="C20" s="1">
        <v>3956</v>
      </c>
      <c r="D20" s="1">
        <v>2800</v>
      </c>
      <c r="E20" s="1">
        <v>2216</v>
      </c>
      <c r="F20" s="1">
        <v>1780</v>
      </c>
      <c r="G20" s="1">
        <v>1558</v>
      </c>
      <c r="H20" s="1">
        <v>1367</v>
      </c>
      <c r="I20" s="1">
        <v>1240</v>
      </c>
      <c r="J20" s="1">
        <v>1138</v>
      </c>
      <c r="K20" s="1">
        <v>1074</v>
      </c>
      <c r="L20" s="1">
        <v>1009</v>
      </c>
      <c r="M20" s="1">
        <v>978</v>
      </c>
      <c r="N20" s="1">
        <v>945</v>
      </c>
      <c r="O20" s="1">
        <v>914</v>
      </c>
      <c r="P20" s="1">
        <v>882</v>
      </c>
    </row>
    <row r="21" spans="1:18" x14ac:dyDescent="0.25">
      <c r="B21" s="1">
        <v>3</v>
      </c>
      <c r="C21" s="1">
        <v>3957</v>
      </c>
      <c r="D21" s="1">
        <v>2802</v>
      </c>
      <c r="E21" s="1">
        <v>2216</v>
      </c>
      <c r="F21" s="1">
        <v>1779</v>
      </c>
      <c r="G21" s="1">
        <v>1558</v>
      </c>
      <c r="H21" s="1">
        <v>1368</v>
      </c>
      <c r="I21" s="1">
        <v>1239</v>
      </c>
      <c r="J21" s="1">
        <v>1139</v>
      </c>
      <c r="K21" s="1">
        <v>1073</v>
      </c>
      <c r="L21" s="1">
        <v>1011</v>
      </c>
      <c r="M21" s="1">
        <v>977</v>
      </c>
      <c r="N21" s="1">
        <v>947</v>
      </c>
      <c r="O21" s="1">
        <v>915</v>
      </c>
      <c r="P21" s="1">
        <v>881</v>
      </c>
    </row>
    <row r="22" spans="1:18" x14ac:dyDescent="0.25">
      <c r="C22" s="3">
        <f t="shared" ref="C22:P22" si="5">STDEV(C19:C21)</f>
        <v>0.57735026918962584</v>
      </c>
      <c r="D22" s="3">
        <f t="shared" si="5"/>
        <v>1</v>
      </c>
      <c r="E22" s="3">
        <f t="shared" si="5"/>
        <v>0.57735026918962584</v>
      </c>
      <c r="F22" s="3">
        <f t="shared" si="5"/>
        <v>0.57735026918962584</v>
      </c>
      <c r="G22" s="3">
        <f t="shared" si="5"/>
        <v>0.57735026918962584</v>
      </c>
      <c r="H22" s="3">
        <f t="shared" si="5"/>
        <v>0.57735026918962584</v>
      </c>
      <c r="I22" s="3">
        <f t="shared" si="5"/>
        <v>0.57735026918962584</v>
      </c>
      <c r="J22" s="3">
        <f t="shared" si="5"/>
        <v>0.57735026918962584</v>
      </c>
      <c r="K22" s="3">
        <f t="shared" si="5"/>
        <v>0.57735026918962584</v>
      </c>
      <c r="L22" s="3">
        <f t="shared" si="5"/>
        <v>1</v>
      </c>
      <c r="M22" s="3">
        <f t="shared" si="5"/>
        <v>0.57735026918962573</v>
      </c>
      <c r="N22" s="3">
        <f t="shared" si="5"/>
        <v>1</v>
      </c>
      <c r="O22" s="3">
        <f t="shared" si="5"/>
        <v>0.57735026918962573</v>
      </c>
      <c r="P22" s="3">
        <f t="shared" si="5"/>
        <v>1</v>
      </c>
      <c r="Q22" s="3">
        <f>AVERAGE(C22:P22)</f>
        <v>0.69810733513544698</v>
      </c>
      <c r="R22" s="1">
        <v>5</v>
      </c>
    </row>
    <row r="23" spans="1:18" x14ac:dyDescent="0.25">
      <c r="A23" s="1">
        <v>6</v>
      </c>
      <c r="B23" s="1">
        <v>1</v>
      </c>
      <c r="C23" s="1">
        <v>3956</v>
      </c>
      <c r="D23" s="1">
        <v>2888</v>
      </c>
      <c r="E23" s="1">
        <v>2302</v>
      </c>
      <c r="F23" s="1">
        <v>1866</v>
      </c>
      <c r="G23" s="1">
        <v>1612</v>
      </c>
      <c r="H23" s="1">
        <v>1422</v>
      </c>
      <c r="I23" s="1">
        <v>1295</v>
      </c>
      <c r="J23" s="1">
        <v>1199</v>
      </c>
      <c r="K23" s="1">
        <v>1096</v>
      </c>
      <c r="L23" s="1">
        <v>1000</v>
      </c>
      <c r="M23" s="1">
        <v>976</v>
      </c>
      <c r="N23" s="1">
        <v>936</v>
      </c>
      <c r="O23" s="1">
        <v>904</v>
      </c>
      <c r="P23" s="1">
        <v>872</v>
      </c>
    </row>
    <row r="24" spans="1:18" x14ac:dyDescent="0.25">
      <c r="B24" s="1">
        <v>2</v>
      </c>
      <c r="C24" s="1">
        <v>3955</v>
      </c>
      <c r="D24" s="1">
        <v>2896</v>
      </c>
      <c r="E24" s="1">
        <v>2302</v>
      </c>
      <c r="F24" s="1">
        <v>1865</v>
      </c>
      <c r="G24" s="1">
        <v>1612</v>
      </c>
      <c r="H24" s="1">
        <v>1421</v>
      </c>
      <c r="I24" s="1">
        <v>1295</v>
      </c>
      <c r="J24" s="1">
        <v>1199</v>
      </c>
      <c r="K24" s="1">
        <v>1096</v>
      </c>
      <c r="L24" s="1">
        <v>1000</v>
      </c>
      <c r="M24" s="1">
        <v>972</v>
      </c>
      <c r="N24" s="1">
        <v>936</v>
      </c>
      <c r="O24" s="1">
        <v>904</v>
      </c>
      <c r="P24" s="1">
        <v>872</v>
      </c>
    </row>
    <row r="25" spans="1:18" x14ac:dyDescent="0.25">
      <c r="B25" s="1">
        <v>3</v>
      </c>
      <c r="C25" s="1">
        <v>3956</v>
      </c>
      <c r="D25" s="1">
        <v>2887</v>
      </c>
      <c r="E25" s="1">
        <v>2301</v>
      </c>
      <c r="F25" s="1">
        <v>1866</v>
      </c>
      <c r="G25" s="1">
        <v>1612</v>
      </c>
      <c r="H25" s="1">
        <v>1422</v>
      </c>
      <c r="I25" s="1">
        <v>1295</v>
      </c>
      <c r="J25" s="1">
        <v>1199</v>
      </c>
      <c r="K25" s="1">
        <v>1097</v>
      </c>
      <c r="L25" s="1">
        <v>1000</v>
      </c>
      <c r="M25" s="1">
        <v>974</v>
      </c>
      <c r="N25" s="1">
        <v>935</v>
      </c>
      <c r="O25" s="1">
        <v>904</v>
      </c>
      <c r="P25" s="1">
        <v>872</v>
      </c>
    </row>
    <row r="26" spans="1:18" x14ac:dyDescent="0.25">
      <c r="C26" s="3">
        <f t="shared" ref="C26:P26" si="6">STDEV(C23:C25)</f>
        <v>0.57735026918962584</v>
      </c>
      <c r="D26" s="3">
        <f t="shared" si="6"/>
        <v>4.932882862316248</v>
      </c>
      <c r="E26" s="3">
        <f t="shared" si="6"/>
        <v>0.57735026918962584</v>
      </c>
      <c r="F26" s="3">
        <f t="shared" si="6"/>
        <v>0.57735026918962584</v>
      </c>
      <c r="G26" s="3">
        <f t="shared" si="6"/>
        <v>0</v>
      </c>
      <c r="H26" s="3">
        <f t="shared" si="6"/>
        <v>0.57735026918962584</v>
      </c>
      <c r="I26" s="3">
        <f t="shared" si="6"/>
        <v>0</v>
      </c>
      <c r="J26" s="3">
        <f t="shared" si="6"/>
        <v>0</v>
      </c>
      <c r="K26" s="3">
        <f t="shared" si="6"/>
        <v>0.57735026918962584</v>
      </c>
      <c r="L26" s="3">
        <f t="shared" si="6"/>
        <v>0</v>
      </c>
      <c r="M26" s="3">
        <f t="shared" si="6"/>
        <v>2</v>
      </c>
      <c r="N26" s="3">
        <f t="shared" si="6"/>
        <v>0.57735026918962573</v>
      </c>
      <c r="O26" s="3">
        <f t="shared" si="6"/>
        <v>0</v>
      </c>
      <c r="P26" s="3">
        <f t="shared" si="6"/>
        <v>0</v>
      </c>
      <c r="Q26" s="3">
        <f>AVERAGE(C26:P26)</f>
        <v>0.74264174838957175</v>
      </c>
      <c r="R26" s="1">
        <v>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R26"/>
  <sheetViews>
    <sheetView topLeftCell="C1" workbookViewId="0">
      <pane ySplit="2" topLeftCell="A3" activePane="bottomLeft" state="frozen"/>
      <selection pane="bottomLeft" activeCell="Q22" sqref="Q22"/>
    </sheetView>
  </sheetViews>
  <sheetFormatPr defaultColWidth="14.44140625" defaultRowHeight="15.75" customHeight="1" x14ac:dyDescent="0.25"/>
  <cols>
    <col min="3" max="22" width="8.109375" customWidth="1"/>
  </cols>
  <sheetData>
    <row r="1" spans="1:18" x14ac:dyDescent="0.25">
      <c r="C1" s="1" t="s">
        <v>47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8" x14ac:dyDescent="0.25">
      <c r="A2" s="1" t="s">
        <v>48</v>
      </c>
      <c r="B2" s="1" t="s">
        <v>49</v>
      </c>
      <c r="C2" s="2">
        <v>4</v>
      </c>
      <c r="D2" s="2">
        <v>6</v>
      </c>
      <c r="E2" s="2">
        <v>8</v>
      </c>
      <c r="F2" s="2">
        <v>10</v>
      </c>
      <c r="G2" s="2">
        <v>12</v>
      </c>
      <c r="H2" s="2">
        <v>14</v>
      </c>
      <c r="I2" s="2">
        <v>16</v>
      </c>
      <c r="J2" s="2">
        <v>18</v>
      </c>
      <c r="K2" s="2">
        <v>20</v>
      </c>
      <c r="L2" s="2">
        <v>22</v>
      </c>
      <c r="M2" s="2">
        <v>24</v>
      </c>
      <c r="N2" s="2">
        <v>26</v>
      </c>
      <c r="O2" s="2">
        <v>28</v>
      </c>
      <c r="P2" s="2">
        <v>30</v>
      </c>
    </row>
    <row r="3" spans="1:18" x14ac:dyDescent="0.25">
      <c r="A3" s="1">
        <v>1</v>
      </c>
      <c r="B3" s="1">
        <v>1</v>
      </c>
      <c r="C3" s="1">
        <v>3608</v>
      </c>
      <c r="D3" s="1">
        <v>2706</v>
      </c>
      <c r="E3" s="1">
        <v>2149</v>
      </c>
      <c r="F3" s="1">
        <v>1780</v>
      </c>
      <c r="G3" s="1">
        <v>1526</v>
      </c>
      <c r="H3" s="1">
        <v>1335</v>
      </c>
      <c r="I3" s="1">
        <v>1167</v>
      </c>
      <c r="J3" s="1">
        <v>1040</v>
      </c>
      <c r="K3" s="1">
        <v>944</v>
      </c>
      <c r="L3" s="1">
        <v>848</v>
      </c>
      <c r="M3" s="1">
        <v>785</v>
      </c>
      <c r="N3" s="1">
        <v>711</v>
      </c>
      <c r="O3" s="1">
        <v>647</v>
      </c>
      <c r="P3" s="1">
        <v>582</v>
      </c>
    </row>
    <row r="4" spans="1:18" x14ac:dyDescent="0.25">
      <c r="B4" s="1">
        <v>2</v>
      </c>
      <c r="C4" s="1">
        <v>3608</v>
      </c>
      <c r="D4" s="1">
        <v>2706</v>
      </c>
      <c r="E4" s="1">
        <v>2147</v>
      </c>
      <c r="F4" s="1">
        <v>1781</v>
      </c>
      <c r="G4" s="1">
        <v>1526</v>
      </c>
      <c r="H4" s="1">
        <v>1336</v>
      </c>
      <c r="I4" s="1">
        <v>1167</v>
      </c>
      <c r="J4" s="1">
        <v>1040</v>
      </c>
      <c r="K4" s="1">
        <v>944</v>
      </c>
      <c r="L4" s="1">
        <v>848</v>
      </c>
      <c r="M4" s="1">
        <v>785</v>
      </c>
      <c r="N4" s="1">
        <v>711</v>
      </c>
      <c r="O4" s="1">
        <v>647</v>
      </c>
      <c r="P4" s="1">
        <v>582</v>
      </c>
    </row>
    <row r="5" spans="1:18" x14ac:dyDescent="0.25">
      <c r="B5" s="1">
        <v>3</v>
      </c>
      <c r="C5" s="1">
        <v>3609</v>
      </c>
      <c r="D5" s="1">
        <v>2705</v>
      </c>
      <c r="E5" s="1">
        <v>2141</v>
      </c>
      <c r="F5" s="1">
        <v>1780</v>
      </c>
      <c r="G5" s="1">
        <v>1526</v>
      </c>
      <c r="H5" s="1">
        <v>1335</v>
      </c>
      <c r="I5" s="1">
        <v>1167</v>
      </c>
      <c r="J5" s="1">
        <v>1040</v>
      </c>
      <c r="K5" s="1">
        <v>944</v>
      </c>
      <c r="L5" s="1">
        <v>847</v>
      </c>
      <c r="M5" s="1">
        <v>785</v>
      </c>
      <c r="N5" s="1">
        <v>711</v>
      </c>
      <c r="O5" s="1">
        <v>646</v>
      </c>
      <c r="P5" s="1">
        <v>603</v>
      </c>
    </row>
    <row r="6" spans="1:18" x14ac:dyDescent="0.25">
      <c r="C6" s="2">
        <v>4</v>
      </c>
      <c r="D6" s="2">
        <v>6</v>
      </c>
      <c r="E6" s="2">
        <v>8</v>
      </c>
      <c r="F6" s="2">
        <v>10</v>
      </c>
      <c r="G6" s="2">
        <v>12</v>
      </c>
      <c r="H6" s="2">
        <v>14</v>
      </c>
      <c r="I6" s="2">
        <v>16</v>
      </c>
      <c r="J6" s="2">
        <v>18</v>
      </c>
      <c r="K6" s="2">
        <v>20</v>
      </c>
      <c r="L6" s="2">
        <v>22</v>
      </c>
      <c r="M6" s="2">
        <v>24</v>
      </c>
      <c r="N6" s="2">
        <v>26</v>
      </c>
      <c r="O6" s="2">
        <v>28</v>
      </c>
      <c r="P6" s="2">
        <v>30</v>
      </c>
      <c r="Q6" s="4">
        <f>AVERAGE(C6:P6)</f>
        <v>17</v>
      </c>
      <c r="R6" s="1">
        <v>1</v>
      </c>
    </row>
    <row r="7" spans="1:18" x14ac:dyDescent="0.25">
      <c r="A7" s="1">
        <v>2</v>
      </c>
      <c r="B7" s="1">
        <v>1</v>
      </c>
      <c r="C7" s="1">
        <v>3901</v>
      </c>
      <c r="D7" s="1">
        <v>2876</v>
      </c>
      <c r="E7" s="1">
        <v>2257</v>
      </c>
      <c r="F7" s="1">
        <v>1883</v>
      </c>
      <c r="G7" s="1">
        <v>1604</v>
      </c>
      <c r="H7" s="1">
        <v>1378</v>
      </c>
      <c r="I7" s="1">
        <v>1218</v>
      </c>
      <c r="J7" s="1">
        <v>1091</v>
      </c>
      <c r="K7" s="1">
        <v>965</v>
      </c>
      <c r="L7" s="1">
        <v>906</v>
      </c>
      <c r="M7" s="1">
        <v>793</v>
      </c>
      <c r="N7" s="1">
        <v>731</v>
      </c>
      <c r="O7" s="1">
        <v>663</v>
      </c>
      <c r="P7" s="1">
        <v>611</v>
      </c>
    </row>
    <row r="8" spans="1:18" x14ac:dyDescent="0.25">
      <c r="B8" s="1">
        <v>2</v>
      </c>
      <c r="C8" s="1">
        <v>3900</v>
      </c>
      <c r="D8" s="1">
        <v>2877</v>
      </c>
      <c r="E8" s="1">
        <v>2260</v>
      </c>
      <c r="F8" s="1">
        <v>1881</v>
      </c>
      <c r="G8" s="1">
        <v>1602</v>
      </c>
      <c r="H8" s="1">
        <v>1379</v>
      </c>
      <c r="I8" s="1">
        <v>1216</v>
      </c>
      <c r="J8" s="1">
        <v>1095</v>
      </c>
      <c r="K8" s="1">
        <v>964</v>
      </c>
      <c r="L8" s="1">
        <v>889</v>
      </c>
      <c r="M8" s="1">
        <v>794</v>
      </c>
      <c r="N8" s="1">
        <v>728</v>
      </c>
      <c r="O8" s="1">
        <v>665</v>
      </c>
      <c r="P8" s="1">
        <v>604</v>
      </c>
    </row>
    <row r="9" spans="1:18" x14ac:dyDescent="0.25">
      <c r="B9" s="1">
        <v>3</v>
      </c>
      <c r="C9" s="1">
        <v>3901</v>
      </c>
      <c r="D9" s="1">
        <v>2880</v>
      </c>
      <c r="E9" s="1">
        <v>2260</v>
      </c>
      <c r="F9" s="1">
        <v>1881</v>
      </c>
      <c r="G9" s="1">
        <v>1603</v>
      </c>
      <c r="H9" s="1">
        <v>1378</v>
      </c>
      <c r="I9" s="1">
        <v>1219</v>
      </c>
      <c r="J9" s="1">
        <v>1095</v>
      </c>
      <c r="K9" s="1">
        <v>967</v>
      </c>
      <c r="L9" s="1">
        <v>905</v>
      </c>
      <c r="M9" s="1">
        <v>794</v>
      </c>
      <c r="N9" s="1">
        <v>732</v>
      </c>
      <c r="O9" s="1">
        <v>668</v>
      </c>
      <c r="P9" s="1">
        <v>629</v>
      </c>
    </row>
    <row r="10" spans="1:18" x14ac:dyDescent="0.25">
      <c r="C10" s="2">
        <v>4</v>
      </c>
      <c r="D10" s="2">
        <v>6</v>
      </c>
      <c r="E10" s="2">
        <v>8</v>
      </c>
      <c r="F10" s="2">
        <v>10</v>
      </c>
      <c r="G10" s="2">
        <v>12</v>
      </c>
      <c r="H10" s="2">
        <v>14</v>
      </c>
      <c r="I10" s="2">
        <v>16</v>
      </c>
      <c r="J10" s="2">
        <v>18</v>
      </c>
      <c r="K10" s="2">
        <v>20</v>
      </c>
      <c r="L10" s="2">
        <v>22</v>
      </c>
      <c r="M10" s="2">
        <v>24</v>
      </c>
      <c r="N10" s="2">
        <v>26</v>
      </c>
      <c r="O10" s="2">
        <v>28</v>
      </c>
      <c r="P10" s="2">
        <v>30</v>
      </c>
      <c r="Q10" s="4">
        <f>AVERAGE(C10:P10)</f>
        <v>17</v>
      </c>
      <c r="R10" s="1">
        <v>2</v>
      </c>
    </row>
    <row r="11" spans="1:18" x14ac:dyDescent="0.25">
      <c r="A11" s="1">
        <v>3</v>
      </c>
      <c r="B11" s="1">
        <v>1</v>
      </c>
      <c r="C11" s="1">
        <v>4085</v>
      </c>
      <c r="D11" s="1">
        <v>3012</v>
      </c>
      <c r="E11" s="1">
        <v>2340</v>
      </c>
      <c r="F11" s="1">
        <v>1907</v>
      </c>
      <c r="G11" s="1">
        <v>1641</v>
      </c>
      <c r="H11" s="1">
        <v>1420</v>
      </c>
      <c r="I11" s="1">
        <v>1229</v>
      </c>
      <c r="J11" s="1">
        <v>1091</v>
      </c>
      <c r="K11" s="1">
        <v>991</v>
      </c>
      <c r="L11" s="1">
        <v>896</v>
      </c>
      <c r="M11" s="1">
        <v>803</v>
      </c>
      <c r="N11" s="1">
        <v>739</v>
      </c>
      <c r="O11" s="1">
        <v>675</v>
      </c>
      <c r="P11" s="1">
        <v>608</v>
      </c>
    </row>
    <row r="12" spans="1:18" x14ac:dyDescent="0.25">
      <c r="B12" s="1">
        <v>2</v>
      </c>
      <c r="C12" s="1">
        <v>4085</v>
      </c>
      <c r="D12" s="1">
        <v>3012</v>
      </c>
      <c r="E12" s="1">
        <v>2341</v>
      </c>
      <c r="F12" s="1">
        <v>1907</v>
      </c>
      <c r="G12" s="1">
        <v>1641</v>
      </c>
      <c r="H12" s="1">
        <v>1421</v>
      </c>
      <c r="I12" s="1">
        <v>1229</v>
      </c>
      <c r="J12" s="1">
        <v>1091</v>
      </c>
      <c r="K12" s="1">
        <v>991</v>
      </c>
      <c r="L12" s="1">
        <v>896</v>
      </c>
      <c r="M12" s="1">
        <v>803</v>
      </c>
      <c r="N12" s="1">
        <v>739</v>
      </c>
      <c r="O12" s="1">
        <v>675</v>
      </c>
      <c r="P12" s="1">
        <v>608</v>
      </c>
    </row>
    <row r="13" spans="1:18" x14ac:dyDescent="0.25">
      <c r="B13" s="1">
        <v>3</v>
      </c>
      <c r="C13" s="1">
        <v>4086</v>
      </c>
      <c r="D13" s="1">
        <v>3012</v>
      </c>
      <c r="E13" s="1">
        <v>2340</v>
      </c>
      <c r="F13" s="1">
        <v>1907</v>
      </c>
      <c r="G13" s="1">
        <v>1641</v>
      </c>
      <c r="H13" s="1">
        <v>1420</v>
      </c>
      <c r="I13" s="1">
        <v>1229</v>
      </c>
      <c r="J13" s="1">
        <v>1091</v>
      </c>
      <c r="K13" s="1">
        <v>991</v>
      </c>
      <c r="L13" s="1">
        <v>870</v>
      </c>
      <c r="M13" s="1">
        <v>803</v>
      </c>
      <c r="N13" s="1">
        <v>739</v>
      </c>
      <c r="O13" s="1">
        <v>675</v>
      </c>
      <c r="P13" s="1">
        <v>608</v>
      </c>
    </row>
    <row r="14" spans="1:18" x14ac:dyDescent="0.25">
      <c r="C14" s="2">
        <v>4</v>
      </c>
      <c r="D14" s="2">
        <v>6</v>
      </c>
      <c r="E14" s="2">
        <v>8</v>
      </c>
      <c r="F14" s="2">
        <v>10</v>
      </c>
      <c r="G14" s="2">
        <v>12</v>
      </c>
      <c r="H14" s="2">
        <v>14</v>
      </c>
      <c r="I14" s="2">
        <v>16</v>
      </c>
      <c r="J14" s="2">
        <v>18</v>
      </c>
      <c r="K14" s="2">
        <v>20</v>
      </c>
      <c r="L14" s="2">
        <v>22</v>
      </c>
      <c r="M14" s="2">
        <v>24</v>
      </c>
      <c r="N14" s="2">
        <v>26</v>
      </c>
      <c r="O14" s="2">
        <v>28</v>
      </c>
      <c r="P14" s="2">
        <v>30</v>
      </c>
      <c r="Q14" s="4">
        <f>AVERAGE(C14:P14)</f>
        <v>17</v>
      </c>
      <c r="R14" s="1">
        <v>3</v>
      </c>
    </row>
    <row r="15" spans="1:18" x14ac:dyDescent="0.25">
      <c r="A15" s="1">
        <v>4</v>
      </c>
      <c r="B15" s="1">
        <v>1</v>
      </c>
      <c r="C15" s="1">
        <v>3659</v>
      </c>
      <c r="D15" s="1">
        <v>2755</v>
      </c>
      <c r="E15" s="1">
        <v>2156</v>
      </c>
      <c r="F15" s="1">
        <v>1758</v>
      </c>
      <c r="G15" s="1">
        <v>1525</v>
      </c>
      <c r="H15" s="1">
        <v>1326</v>
      </c>
      <c r="I15" s="1">
        <v>1163</v>
      </c>
      <c r="J15" s="1">
        <v>1039</v>
      </c>
      <c r="K15" s="1">
        <v>943</v>
      </c>
      <c r="L15" s="1">
        <v>851</v>
      </c>
      <c r="M15" s="1">
        <v>786</v>
      </c>
      <c r="N15" s="1">
        <v>718</v>
      </c>
      <c r="O15" s="1">
        <v>647</v>
      </c>
      <c r="P15" s="1">
        <v>605</v>
      </c>
    </row>
    <row r="16" spans="1:18" x14ac:dyDescent="0.25">
      <c r="B16" s="1">
        <v>2</v>
      </c>
      <c r="C16" s="1">
        <v>3655</v>
      </c>
      <c r="D16" s="1">
        <v>2757</v>
      </c>
      <c r="E16" s="1">
        <v>2154</v>
      </c>
      <c r="F16" s="1">
        <v>1759</v>
      </c>
      <c r="G16" s="1">
        <v>1526</v>
      </c>
      <c r="H16" s="1">
        <v>1337</v>
      </c>
      <c r="I16" s="1">
        <v>1170</v>
      </c>
      <c r="J16" s="1">
        <v>1036</v>
      </c>
      <c r="K16" s="1">
        <v>940</v>
      </c>
      <c r="L16" s="1">
        <v>845</v>
      </c>
      <c r="M16" s="1">
        <v>781</v>
      </c>
      <c r="N16" s="1">
        <v>716</v>
      </c>
      <c r="O16" s="1">
        <v>643</v>
      </c>
      <c r="P16" s="1">
        <v>607</v>
      </c>
    </row>
    <row r="17" spans="1:18" x14ac:dyDescent="0.25">
      <c r="B17" s="1">
        <v>3</v>
      </c>
      <c r="C17" s="1">
        <v>3656</v>
      </c>
      <c r="D17" s="1">
        <v>2751</v>
      </c>
      <c r="E17" s="1">
        <v>2158</v>
      </c>
      <c r="F17" s="1">
        <v>1754</v>
      </c>
      <c r="G17" s="1">
        <v>1516</v>
      </c>
      <c r="H17" s="1">
        <v>1335</v>
      </c>
      <c r="I17" s="1">
        <v>1164</v>
      </c>
      <c r="J17" s="1">
        <v>1036</v>
      </c>
      <c r="K17" s="1">
        <v>944</v>
      </c>
      <c r="L17" s="1">
        <v>843</v>
      </c>
      <c r="M17" s="1">
        <v>785</v>
      </c>
      <c r="N17" s="1">
        <v>712</v>
      </c>
      <c r="O17" s="1">
        <v>649</v>
      </c>
      <c r="P17" s="1">
        <v>616</v>
      </c>
    </row>
    <row r="18" spans="1:18" x14ac:dyDescent="0.25">
      <c r="C18" s="2">
        <v>4</v>
      </c>
      <c r="D18" s="2">
        <v>6</v>
      </c>
      <c r="E18" s="2">
        <v>8</v>
      </c>
      <c r="F18" s="2">
        <v>10</v>
      </c>
      <c r="G18" s="2">
        <v>12</v>
      </c>
      <c r="H18" s="2">
        <v>14</v>
      </c>
      <c r="I18" s="2">
        <v>16</v>
      </c>
      <c r="J18" s="2">
        <v>18</v>
      </c>
      <c r="K18" s="2">
        <v>20</v>
      </c>
      <c r="L18" s="2">
        <v>22</v>
      </c>
      <c r="M18" s="2">
        <v>24</v>
      </c>
      <c r="N18" s="2">
        <v>26</v>
      </c>
      <c r="O18" s="2">
        <v>28</v>
      </c>
      <c r="P18" s="2">
        <v>30</v>
      </c>
      <c r="Q18" s="4">
        <f>AVERAGE(C18:P18)</f>
        <v>17</v>
      </c>
      <c r="R18" s="1">
        <v>4</v>
      </c>
    </row>
    <row r="19" spans="1:18" x14ac:dyDescent="0.25">
      <c r="A19" s="1">
        <v>5</v>
      </c>
      <c r="B19" s="1">
        <v>1</v>
      </c>
      <c r="C19" s="1">
        <v>3957</v>
      </c>
      <c r="D19" s="1">
        <v>2801</v>
      </c>
      <c r="E19" s="1">
        <v>2215</v>
      </c>
      <c r="F19" s="1">
        <v>1779</v>
      </c>
      <c r="G19" s="1">
        <v>1557</v>
      </c>
      <c r="H19" s="1">
        <v>1367</v>
      </c>
      <c r="I19" s="1">
        <v>1240</v>
      </c>
      <c r="J19" s="1">
        <v>1139</v>
      </c>
      <c r="K19" s="1">
        <v>1074</v>
      </c>
      <c r="L19" s="1">
        <v>1010</v>
      </c>
      <c r="M19" s="1">
        <v>977</v>
      </c>
      <c r="N19" s="1">
        <v>946</v>
      </c>
      <c r="O19" s="1">
        <v>914</v>
      </c>
      <c r="P19" s="1">
        <v>883</v>
      </c>
    </row>
    <row r="20" spans="1:18" x14ac:dyDescent="0.25">
      <c r="B20" s="1">
        <v>2</v>
      </c>
      <c r="C20" s="1">
        <v>3956</v>
      </c>
      <c r="D20" s="1">
        <v>2800</v>
      </c>
      <c r="E20" s="1">
        <v>2216</v>
      </c>
      <c r="F20" s="1">
        <v>1780</v>
      </c>
      <c r="G20" s="1">
        <v>1558</v>
      </c>
      <c r="H20" s="1">
        <v>1367</v>
      </c>
      <c r="I20" s="1">
        <v>1240</v>
      </c>
      <c r="J20" s="1">
        <v>1138</v>
      </c>
      <c r="K20" s="1">
        <v>1074</v>
      </c>
      <c r="L20" s="1">
        <v>1009</v>
      </c>
      <c r="M20" s="1">
        <v>978</v>
      </c>
      <c r="N20" s="1">
        <v>945</v>
      </c>
      <c r="O20" s="1">
        <v>914</v>
      </c>
      <c r="P20" s="1">
        <v>882</v>
      </c>
    </row>
    <row r="21" spans="1:18" x14ac:dyDescent="0.25">
      <c r="B21" s="1">
        <v>3</v>
      </c>
      <c r="C21" s="1">
        <v>3957</v>
      </c>
      <c r="D21" s="1">
        <v>2802</v>
      </c>
      <c r="E21" s="1">
        <v>2216</v>
      </c>
      <c r="F21" s="1">
        <v>1779</v>
      </c>
      <c r="G21" s="1">
        <v>1558</v>
      </c>
      <c r="H21" s="1">
        <v>1368</v>
      </c>
      <c r="I21" s="1">
        <v>1239</v>
      </c>
      <c r="J21" s="1">
        <v>1139</v>
      </c>
      <c r="K21" s="1">
        <v>1073</v>
      </c>
      <c r="L21" s="1">
        <v>1011</v>
      </c>
      <c r="M21" s="1">
        <v>977</v>
      </c>
      <c r="N21" s="1">
        <v>947</v>
      </c>
      <c r="O21" s="1">
        <v>915</v>
      </c>
      <c r="P21" s="1">
        <v>881</v>
      </c>
    </row>
    <row r="22" spans="1:18" x14ac:dyDescent="0.25">
      <c r="C22" s="2">
        <v>4</v>
      </c>
      <c r="D22" s="2">
        <v>6</v>
      </c>
      <c r="E22" s="2">
        <v>8</v>
      </c>
      <c r="F22" s="2">
        <v>10</v>
      </c>
      <c r="G22" s="2">
        <v>12</v>
      </c>
      <c r="H22" s="2">
        <v>14</v>
      </c>
      <c r="I22" s="2">
        <v>16</v>
      </c>
      <c r="J22" s="2">
        <v>18</v>
      </c>
      <c r="K22" s="2">
        <v>20</v>
      </c>
      <c r="L22" s="2">
        <v>22</v>
      </c>
      <c r="M22" s="2">
        <v>24</v>
      </c>
      <c r="N22" s="2">
        <v>26</v>
      </c>
      <c r="O22" s="2">
        <v>28</v>
      </c>
      <c r="P22" s="2">
        <v>30</v>
      </c>
      <c r="Q22" s="4">
        <f>AVERAGE(C22:P22)</f>
        <v>17</v>
      </c>
      <c r="R22" s="1">
        <v>5</v>
      </c>
    </row>
    <row r="23" spans="1:18" x14ac:dyDescent="0.25">
      <c r="A23" s="1">
        <v>6</v>
      </c>
      <c r="B23" s="1">
        <v>1</v>
      </c>
      <c r="C23" s="1">
        <v>3956</v>
      </c>
      <c r="D23" s="1">
        <v>2888</v>
      </c>
      <c r="E23" s="1">
        <v>2302</v>
      </c>
      <c r="F23" s="1">
        <v>1866</v>
      </c>
      <c r="G23" s="1">
        <v>1612</v>
      </c>
      <c r="H23" s="1">
        <v>1422</v>
      </c>
      <c r="I23" s="1">
        <v>1295</v>
      </c>
      <c r="J23" s="1">
        <v>1199</v>
      </c>
      <c r="K23" s="1">
        <v>1096</v>
      </c>
      <c r="L23" s="1">
        <v>1000</v>
      </c>
      <c r="M23" s="1">
        <v>976</v>
      </c>
      <c r="N23" s="1">
        <v>936</v>
      </c>
      <c r="O23" s="1">
        <v>904</v>
      </c>
      <c r="P23" s="1">
        <v>872</v>
      </c>
    </row>
    <row r="24" spans="1:18" x14ac:dyDescent="0.25">
      <c r="B24" s="1">
        <v>2</v>
      </c>
      <c r="C24" s="1">
        <v>3955</v>
      </c>
      <c r="D24" s="1">
        <v>2896</v>
      </c>
      <c r="E24" s="1">
        <v>2302</v>
      </c>
      <c r="F24" s="1">
        <v>1865</v>
      </c>
      <c r="G24" s="1">
        <v>1612</v>
      </c>
      <c r="H24" s="1">
        <v>1421</v>
      </c>
      <c r="I24" s="1">
        <v>1295</v>
      </c>
      <c r="J24" s="1">
        <v>1199</v>
      </c>
      <c r="K24" s="1">
        <v>1096</v>
      </c>
      <c r="L24" s="1">
        <v>1000</v>
      </c>
      <c r="M24" s="1">
        <v>972</v>
      </c>
      <c r="N24" s="1">
        <v>936</v>
      </c>
      <c r="O24" s="1">
        <v>904</v>
      </c>
      <c r="P24" s="1">
        <v>872</v>
      </c>
    </row>
    <row r="25" spans="1:18" x14ac:dyDescent="0.25">
      <c r="B25" s="1">
        <v>3</v>
      </c>
      <c r="C25" s="1">
        <v>3956</v>
      </c>
      <c r="D25" s="1">
        <v>2887</v>
      </c>
      <c r="E25" s="1">
        <v>2301</v>
      </c>
      <c r="F25" s="1">
        <v>1866</v>
      </c>
      <c r="G25" s="1">
        <v>1612</v>
      </c>
      <c r="H25" s="1">
        <v>1422</v>
      </c>
      <c r="I25" s="1">
        <v>1295</v>
      </c>
      <c r="J25" s="1">
        <v>1199</v>
      </c>
      <c r="K25" s="1">
        <v>1097</v>
      </c>
      <c r="L25" s="1">
        <v>1000</v>
      </c>
      <c r="M25" s="1">
        <v>974</v>
      </c>
      <c r="N25" s="1">
        <v>935</v>
      </c>
      <c r="O25" s="1">
        <v>904</v>
      </c>
      <c r="P25" s="1">
        <v>872</v>
      </c>
    </row>
    <row r="26" spans="1:18" x14ac:dyDescent="0.25">
      <c r="C26" s="3">
        <f t="shared" ref="C26:P26" si="0">STDEV(C23:C25)</f>
        <v>0.57735026918962584</v>
      </c>
      <c r="D26" s="3">
        <f t="shared" si="0"/>
        <v>4.932882862316248</v>
      </c>
      <c r="E26" s="3">
        <f t="shared" si="0"/>
        <v>0.57735026918962584</v>
      </c>
      <c r="F26" s="3">
        <f t="shared" si="0"/>
        <v>0.57735026918962584</v>
      </c>
      <c r="G26" s="3">
        <f t="shared" si="0"/>
        <v>0</v>
      </c>
      <c r="H26" s="3">
        <f t="shared" si="0"/>
        <v>0.57735026918962584</v>
      </c>
      <c r="I26" s="3">
        <f t="shared" si="0"/>
        <v>0</v>
      </c>
      <c r="J26" s="3">
        <f t="shared" si="0"/>
        <v>0</v>
      </c>
      <c r="K26" s="3">
        <f t="shared" si="0"/>
        <v>0.57735026918962584</v>
      </c>
      <c r="L26" s="3">
        <f t="shared" si="0"/>
        <v>0</v>
      </c>
      <c r="M26" s="3">
        <f t="shared" si="0"/>
        <v>2</v>
      </c>
      <c r="N26" s="3">
        <f t="shared" si="0"/>
        <v>0.57735026918962573</v>
      </c>
      <c r="O26" s="3">
        <f t="shared" si="0"/>
        <v>0</v>
      </c>
      <c r="P26" s="3">
        <f t="shared" si="0"/>
        <v>0</v>
      </c>
      <c r="Q26" s="3">
        <f>AVERAGE(C26:P26)</f>
        <v>0.74264174838957175</v>
      </c>
      <c r="R26" s="1">
        <v>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시트2</vt:lpstr>
      <vt:lpstr>시트1</vt:lpstr>
      <vt:lpstr>시트1의 사본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Jaesun Park</cp:lastModifiedBy>
  <dcterms:modified xsi:type="dcterms:W3CDTF">2020-12-29T07:04:08Z</dcterms:modified>
</cp:coreProperties>
</file>