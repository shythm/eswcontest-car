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  <sheet state="visible" name="시트1" sheetId="2" r:id="rId5"/>
    <sheet state="visible" name="시트1의 사본" sheetId="3" r:id="rId6"/>
  </sheets>
  <definedNames/>
  <calcPr/>
</workbook>
</file>

<file path=xl/sharedStrings.xml><?xml version="1.0" encoding="utf-8"?>
<sst xmlns="http://schemas.openxmlformats.org/spreadsheetml/2006/main" count="84" uniqueCount="59">
  <si>
    <t>d1=51.83*exp( -0.001981*x)+17.8*exp( -0.0004166*x)</t>
  </si>
  <si>
    <t>d2 = 52.04*exp(  -0.001964*x)+   18.16*exp(  -0.0003931*x)</t>
  </si>
  <si>
    <t>d3 = 51.58 *exp( -0.001936*x)+  17.79*exp( -0.0003686*x)</t>
  </si>
  <si>
    <t>d4 =  57.7*exp( -0.002206 *x)+  19.1*exp(  -0.0004304*x)</t>
  </si>
  <si>
    <t>d5 = 490.1 *exp( -0.004111*x)+  24.61*exp(  -0.0004845*x)</t>
  </si>
  <si>
    <t>d6 =  638.6 *exp( -0.004488 *x)+    26.45 *exp( -0.000508*x)</t>
  </si>
  <si>
    <t>일반 모델 Exp2:</t>
  </si>
  <si>
    <t>f(x) = a*exp(b*x) + c*exp(d*x)</t>
  </si>
  <si>
    <t>계수(신뢰한계: 95%):</t>
  </si>
  <si>
    <t>a =       51.83  (50.32, 53.33)</t>
  </si>
  <si>
    <t>a =       52.04  (49.88, 54.21)</t>
  </si>
  <si>
    <t>a =       51.58  (50.11, 53.06)</t>
  </si>
  <si>
    <t>b =   -0.001981  (-0.002134, -0.001827)</t>
  </si>
  <si>
    <t>b =   -0.001964  (-0.00216, -0.001767)</t>
  </si>
  <si>
    <t>b =   -0.001936  (-0.002062, -0.00181)</t>
  </si>
  <si>
    <t>c =        17.8  (15.47, 20.12)</t>
  </si>
  <si>
    <t>c =       18.16  (15.41, 20.92)</t>
  </si>
  <si>
    <t>c =       17.79  (16.09, 19.49)</t>
  </si>
  <si>
    <t>d =  -0.0004166  (-0.00046, -0.0003733)</t>
  </si>
  <si>
    <t>d =  -0.0003931  (-0.0004419, -0.0003442)</t>
  </si>
  <si>
    <t>d =  -0.0003686  (-0.0003987, -0.0003384)</t>
  </si>
  <si>
    <t>피팅의 적합도:</t>
  </si>
  <si>
    <t>SSE: 0.8219</t>
  </si>
  <si>
    <t>SSE: 1.518</t>
  </si>
  <si>
    <t>SSE: 0.7452</t>
  </si>
  <si>
    <t>결정계수: 0.9997</t>
  </si>
  <si>
    <t>결정계수: 0.9994</t>
  </si>
  <si>
    <t>수정된 결정계수: 0.9997</t>
  </si>
  <si>
    <t>수정된 결정계수: 0.9994</t>
  </si>
  <si>
    <t>RMSE: 0.1471</t>
  </si>
  <si>
    <t>RMSE: 0.1999</t>
  </si>
  <si>
    <t>RMSE: 0.14</t>
  </si>
  <si>
    <t>a =        57.7  (55.13, 60.27)</t>
  </si>
  <si>
    <t>a =       490.1  (370.4, 609.8)</t>
  </si>
  <si>
    <t>a =       638.6  (292.3, 984.9)</t>
  </si>
  <si>
    <t>b =   -0.002206  (-0.002395, -0.002017)</t>
  </si>
  <si>
    <t>b =   -0.004111  (-0.004438, -0.003784)</t>
  </si>
  <si>
    <t>b =   -0.004488  (-0.005192, -0.003784)</t>
  </si>
  <si>
    <t>c =        19.1  (16.8, 21.41)</t>
  </si>
  <si>
    <t>c =       24.61  (22.79, 26.44)</t>
  </si>
  <si>
    <t>c =       26.45  (23.16, 29.75)</t>
  </si>
  <si>
    <t>d =  -0.0004304  (-0.0004726, -0.0003882)</t>
  </si>
  <si>
    <t>d =  -0.0004845  (-0.0005163, -0.0004527)</t>
  </si>
  <si>
    <t>d =   -0.000508  (-0.0005637, -0.0004524)</t>
  </si>
  <si>
    <t>SSE: 1.147</t>
  </si>
  <si>
    <t>SSE: 2.086</t>
  </si>
  <si>
    <t>SSE: 7.398</t>
  </si>
  <si>
    <t>결정계수: 0.9996</t>
  </si>
  <si>
    <t>결정계수: 0.9992</t>
  </si>
  <si>
    <t>결정계수: 0.9973</t>
  </si>
  <si>
    <t>수정된 결정계수: 0.9995</t>
  </si>
  <si>
    <t>수정된 결정계수: 0.9992</t>
  </si>
  <si>
    <t>수정된 결정계수: 0.9971</t>
  </si>
  <si>
    <t>RMSE: 0.1738</t>
  </si>
  <si>
    <t>RMSE: 0.2343</t>
  </si>
  <si>
    <t>RMSE: 0.4412</t>
  </si>
  <si>
    <t>distance [cm]</t>
  </si>
  <si>
    <t>channel</t>
  </si>
  <si>
    <t>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</si>
</sst>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0372725" cy="84677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 t="s">
        <v>0</v>
      </c>
    </row>
    <row r="4">
      <c r="A4" s="1" t="s">
        <v>1</v>
      </c>
    </row>
    <row r="6">
      <c r="A6" s="1" t="s">
        <v>2</v>
      </c>
    </row>
    <row r="8">
      <c r="A8" s="1" t="s">
        <v>3</v>
      </c>
    </row>
    <row r="10">
      <c r="A10" s="1" t="s">
        <v>4</v>
      </c>
    </row>
    <row r="12">
      <c r="A12" s="1" t="s">
        <v>5</v>
      </c>
    </row>
    <row r="15">
      <c r="A15" s="1">
        <v>1.0</v>
      </c>
      <c r="D15" s="1">
        <v>2.0</v>
      </c>
      <c r="G15" s="1">
        <v>3.0</v>
      </c>
    </row>
    <row r="16">
      <c r="A16" s="1" t="s">
        <v>6</v>
      </c>
      <c r="D16" s="1" t="s">
        <v>6</v>
      </c>
      <c r="G16" s="1" t="s">
        <v>6</v>
      </c>
    </row>
    <row r="17">
      <c r="A17" s="1" t="s">
        <v>7</v>
      </c>
      <c r="D17" s="1" t="s">
        <v>7</v>
      </c>
      <c r="G17" s="1" t="s">
        <v>7</v>
      </c>
    </row>
    <row r="18">
      <c r="A18" s="1" t="s">
        <v>8</v>
      </c>
      <c r="D18" s="1" t="s">
        <v>8</v>
      </c>
      <c r="G18" s="1" t="s">
        <v>8</v>
      </c>
    </row>
    <row r="19">
      <c r="A19" s="1" t="s">
        <v>9</v>
      </c>
      <c r="D19" s="1" t="s">
        <v>10</v>
      </c>
      <c r="G19" s="1" t="s">
        <v>11</v>
      </c>
    </row>
    <row r="20">
      <c r="A20" s="1" t="s">
        <v>12</v>
      </c>
      <c r="D20" s="1" t="s">
        <v>13</v>
      </c>
      <c r="G20" s="1" t="s">
        <v>14</v>
      </c>
    </row>
    <row r="21">
      <c r="A21" s="1" t="s">
        <v>15</v>
      </c>
      <c r="D21" s="1" t="s">
        <v>16</v>
      </c>
      <c r="G21" s="1" t="s">
        <v>17</v>
      </c>
    </row>
    <row r="22">
      <c r="A22" s="1" t="s">
        <v>18</v>
      </c>
      <c r="D22" s="1" t="s">
        <v>19</v>
      </c>
      <c r="G22" s="1" t="s">
        <v>20</v>
      </c>
    </row>
    <row r="24">
      <c r="A24" s="1" t="s">
        <v>21</v>
      </c>
      <c r="D24" s="1" t="s">
        <v>21</v>
      </c>
      <c r="G24" s="1" t="s">
        <v>21</v>
      </c>
    </row>
    <row r="25">
      <c r="A25" s="1" t="s">
        <v>22</v>
      </c>
      <c r="D25" s="1" t="s">
        <v>23</v>
      </c>
      <c r="G25" s="1" t="s">
        <v>24</v>
      </c>
    </row>
    <row r="26">
      <c r="A26" s="1" t="s">
        <v>25</v>
      </c>
      <c r="D26" s="1" t="s">
        <v>26</v>
      </c>
      <c r="G26" s="1" t="s">
        <v>25</v>
      </c>
    </row>
    <row r="27">
      <c r="A27" s="1" t="s">
        <v>27</v>
      </c>
      <c r="D27" s="1" t="s">
        <v>28</v>
      </c>
      <c r="G27" s="1" t="s">
        <v>27</v>
      </c>
    </row>
    <row r="28">
      <c r="A28" s="1" t="s">
        <v>29</v>
      </c>
      <c r="D28" s="1" t="s">
        <v>30</v>
      </c>
      <c r="G28" s="1" t="s">
        <v>31</v>
      </c>
    </row>
    <row r="30">
      <c r="A30" s="1"/>
      <c r="C30" s="1"/>
    </row>
    <row r="32">
      <c r="A32" s="1">
        <v>4.0</v>
      </c>
      <c r="D32" s="1">
        <v>5.0</v>
      </c>
      <c r="G32" s="1">
        <v>6.0</v>
      </c>
    </row>
    <row r="33">
      <c r="A33" s="1" t="s">
        <v>6</v>
      </c>
      <c r="D33" s="1" t="s">
        <v>6</v>
      </c>
      <c r="G33" s="1" t="s">
        <v>6</v>
      </c>
    </row>
    <row r="34">
      <c r="A34" s="1" t="s">
        <v>7</v>
      </c>
      <c r="D34" s="1" t="s">
        <v>7</v>
      </c>
      <c r="G34" s="1" t="s">
        <v>7</v>
      </c>
    </row>
    <row r="35">
      <c r="A35" s="1" t="s">
        <v>8</v>
      </c>
      <c r="D35" s="1" t="s">
        <v>8</v>
      </c>
      <c r="G35" s="1" t="s">
        <v>8</v>
      </c>
    </row>
    <row r="36">
      <c r="A36" s="1" t="s">
        <v>32</v>
      </c>
      <c r="D36" s="1" t="s">
        <v>33</v>
      </c>
      <c r="G36" s="1" t="s">
        <v>34</v>
      </c>
    </row>
    <row r="37">
      <c r="A37" s="1" t="s">
        <v>35</v>
      </c>
      <c r="D37" s="1" t="s">
        <v>36</v>
      </c>
      <c r="G37" s="1" t="s">
        <v>37</v>
      </c>
    </row>
    <row r="38">
      <c r="A38" s="1" t="s">
        <v>38</v>
      </c>
      <c r="D38" s="1" t="s">
        <v>39</v>
      </c>
      <c r="G38" s="1" t="s">
        <v>40</v>
      </c>
    </row>
    <row r="39">
      <c r="A39" s="1" t="s">
        <v>41</v>
      </c>
      <c r="D39" s="1" t="s">
        <v>42</v>
      </c>
      <c r="G39" s="1" t="s">
        <v>43</v>
      </c>
    </row>
    <row r="41">
      <c r="A41" s="1" t="s">
        <v>21</v>
      </c>
      <c r="D41" s="1" t="s">
        <v>21</v>
      </c>
      <c r="G41" s="1" t="s">
        <v>21</v>
      </c>
    </row>
    <row r="42">
      <c r="A42" s="1" t="s">
        <v>44</v>
      </c>
      <c r="D42" s="1" t="s">
        <v>45</v>
      </c>
      <c r="G42" s="1" t="s">
        <v>46</v>
      </c>
    </row>
    <row r="43">
      <c r="A43" s="1" t="s">
        <v>47</v>
      </c>
      <c r="D43" s="1" t="s">
        <v>48</v>
      </c>
      <c r="G43" s="1" t="s">
        <v>49</v>
      </c>
    </row>
    <row r="44">
      <c r="A44" s="1" t="s">
        <v>50</v>
      </c>
      <c r="D44" s="1" t="s">
        <v>51</v>
      </c>
      <c r="G44" s="1" t="s">
        <v>52</v>
      </c>
    </row>
    <row r="45">
      <c r="A45" s="1" t="s">
        <v>53</v>
      </c>
      <c r="D45" s="1" t="s">
        <v>54</v>
      </c>
      <c r="G45" s="1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3" max="22" width="8.14"/>
  </cols>
  <sheetData>
    <row r="1">
      <c r="C1" s="1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 t="s">
        <v>57</v>
      </c>
      <c r="B2" s="1" t="s">
        <v>58</v>
      </c>
      <c r="C2" s="2">
        <v>4.0</v>
      </c>
      <c r="D2" s="2">
        <v>6.0</v>
      </c>
      <c r="E2" s="2">
        <v>8.0</v>
      </c>
      <c r="F2" s="2">
        <v>10.0</v>
      </c>
      <c r="G2" s="2">
        <v>12.0</v>
      </c>
      <c r="H2" s="2">
        <v>14.0</v>
      </c>
      <c r="I2" s="2">
        <v>16.0</v>
      </c>
      <c r="J2" s="2">
        <v>18.0</v>
      </c>
      <c r="K2" s="2">
        <v>20.0</v>
      </c>
      <c r="L2" s="2">
        <v>22.0</v>
      </c>
      <c r="M2" s="2">
        <v>24.0</v>
      </c>
      <c r="N2" s="2">
        <v>26.0</v>
      </c>
      <c r="O2" s="2">
        <v>28.0</v>
      </c>
      <c r="P2" s="2">
        <v>30.0</v>
      </c>
    </row>
    <row r="3">
      <c r="A3" s="1">
        <v>1.0</v>
      </c>
      <c r="B3" s="1">
        <v>1.0</v>
      </c>
      <c r="C3" s="1">
        <v>3608.0</v>
      </c>
      <c r="D3" s="1">
        <v>2706.0</v>
      </c>
      <c r="E3" s="1">
        <v>2149.0</v>
      </c>
      <c r="F3" s="1">
        <v>1780.0</v>
      </c>
      <c r="G3" s="1">
        <v>1526.0</v>
      </c>
      <c r="H3" s="1">
        <v>1335.0</v>
      </c>
      <c r="I3" s="1">
        <v>1167.0</v>
      </c>
      <c r="J3" s="1">
        <v>1040.0</v>
      </c>
      <c r="K3" s="1">
        <v>944.0</v>
      </c>
      <c r="L3" s="1">
        <v>848.0</v>
      </c>
      <c r="M3" s="1">
        <v>785.0</v>
      </c>
      <c r="N3" s="1">
        <v>711.0</v>
      </c>
      <c r="O3" s="1">
        <v>647.0</v>
      </c>
      <c r="P3" s="1">
        <v>582.0</v>
      </c>
    </row>
    <row r="4">
      <c r="B4" s="1">
        <v>2.0</v>
      </c>
      <c r="C4" s="1">
        <v>3608.0</v>
      </c>
      <c r="D4" s="1">
        <v>2706.0</v>
      </c>
      <c r="E4" s="1">
        <v>2147.0</v>
      </c>
      <c r="F4" s="1">
        <v>1781.0</v>
      </c>
      <c r="G4" s="1">
        <v>1526.0</v>
      </c>
      <c r="H4" s="1">
        <v>1336.0</v>
      </c>
      <c r="I4" s="1">
        <v>1167.0</v>
      </c>
      <c r="J4" s="1">
        <v>1040.0</v>
      </c>
      <c r="K4" s="1">
        <v>944.0</v>
      </c>
      <c r="L4" s="1">
        <v>848.0</v>
      </c>
      <c r="M4" s="1">
        <v>785.0</v>
      </c>
      <c r="N4" s="1">
        <v>711.0</v>
      </c>
      <c r="O4" s="1">
        <v>647.0</v>
      </c>
      <c r="P4" s="1">
        <v>582.0</v>
      </c>
    </row>
    <row r="5">
      <c r="B5" s="1">
        <v>3.0</v>
      </c>
      <c r="C5" s="1">
        <v>3609.0</v>
      </c>
      <c r="D5" s="1">
        <v>2705.0</v>
      </c>
      <c r="E5" s="1">
        <v>2141.0</v>
      </c>
      <c r="F5" s="1">
        <v>1780.0</v>
      </c>
      <c r="G5" s="1">
        <v>1526.0</v>
      </c>
      <c r="H5" s="1">
        <v>1335.0</v>
      </c>
      <c r="I5" s="1">
        <v>1167.0</v>
      </c>
      <c r="J5" s="1">
        <v>1040.0</v>
      </c>
      <c r="K5" s="1">
        <v>944.0</v>
      </c>
      <c r="L5" s="1">
        <v>847.0</v>
      </c>
      <c r="M5" s="1">
        <v>785.0</v>
      </c>
      <c r="N5" s="1">
        <v>711.0</v>
      </c>
      <c r="O5" s="1">
        <v>646.0</v>
      </c>
      <c r="P5" s="1">
        <v>603.0</v>
      </c>
    </row>
    <row r="6">
      <c r="C6" s="3">
        <f t="shared" ref="C6:P6" si="1">STDEV(C3:C5)</f>
        <v>0.5773502692</v>
      </c>
      <c r="D6" s="3">
        <f t="shared" si="1"/>
        <v>0.5773502692</v>
      </c>
      <c r="E6" s="3">
        <f t="shared" si="1"/>
        <v>4.163331999</v>
      </c>
      <c r="F6" s="3">
        <f t="shared" si="1"/>
        <v>0.5773502692</v>
      </c>
      <c r="G6" s="3">
        <f t="shared" si="1"/>
        <v>0</v>
      </c>
      <c r="H6" s="3">
        <f t="shared" si="1"/>
        <v>0.5773502692</v>
      </c>
      <c r="I6" s="3">
        <f t="shared" si="1"/>
        <v>0</v>
      </c>
      <c r="J6" s="3">
        <f t="shared" si="1"/>
        <v>0</v>
      </c>
      <c r="K6" s="3">
        <f t="shared" si="1"/>
        <v>0</v>
      </c>
      <c r="L6" s="3">
        <f t="shared" si="1"/>
        <v>0.5773502692</v>
      </c>
      <c r="M6" s="3">
        <f t="shared" si="1"/>
        <v>0</v>
      </c>
      <c r="N6" s="3">
        <f t="shared" si="1"/>
        <v>0</v>
      </c>
      <c r="O6" s="3">
        <f t="shared" si="1"/>
        <v>0.5773502692</v>
      </c>
      <c r="P6" s="3">
        <f t="shared" si="1"/>
        <v>12.12435565</v>
      </c>
      <c r="Q6" s="3">
        <f>AVERAGE(C6:P6)</f>
        <v>1.410842091</v>
      </c>
      <c r="R6" s="1">
        <v>1.0</v>
      </c>
    </row>
    <row r="7">
      <c r="A7" s="1">
        <v>2.0</v>
      </c>
      <c r="B7" s="1">
        <v>1.0</v>
      </c>
      <c r="C7" s="1">
        <v>3901.0</v>
      </c>
      <c r="D7" s="1">
        <v>2876.0</v>
      </c>
      <c r="E7" s="1">
        <v>2257.0</v>
      </c>
      <c r="F7" s="1">
        <v>1883.0</v>
      </c>
      <c r="G7" s="1">
        <v>1604.0</v>
      </c>
      <c r="H7" s="1">
        <v>1378.0</v>
      </c>
      <c r="I7" s="1">
        <v>1218.0</v>
      </c>
      <c r="J7" s="1">
        <v>1091.0</v>
      </c>
      <c r="K7" s="1">
        <v>965.0</v>
      </c>
      <c r="L7" s="1">
        <v>906.0</v>
      </c>
      <c r="M7" s="1">
        <v>793.0</v>
      </c>
      <c r="N7" s="1">
        <v>731.0</v>
      </c>
      <c r="O7" s="1">
        <v>663.0</v>
      </c>
      <c r="P7" s="1">
        <v>611.0</v>
      </c>
    </row>
    <row r="8">
      <c r="B8" s="1">
        <v>2.0</v>
      </c>
      <c r="C8" s="1">
        <v>3900.0</v>
      </c>
      <c r="D8" s="1">
        <v>2877.0</v>
      </c>
      <c r="E8" s="1">
        <v>2260.0</v>
      </c>
      <c r="F8" s="1">
        <v>1881.0</v>
      </c>
      <c r="G8" s="1">
        <v>1602.0</v>
      </c>
      <c r="H8" s="1">
        <v>1379.0</v>
      </c>
      <c r="I8" s="1">
        <v>1216.0</v>
      </c>
      <c r="J8" s="1">
        <v>1095.0</v>
      </c>
      <c r="K8" s="1">
        <v>964.0</v>
      </c>
      <c r="L8" s="1">
        <v>889.0</v>
      </c>
      <c r="M8" s="1">
        <v>794.0</v>
      </c>
      <c r="N8" s="1">
        <v>728.0</v>
      </c>
      <c r="O8" s="1">
        <v>665.0</v>
      </c>
      <c r="P8" s="1">
        <v>604.0</v>
      </c>
    </row>
    <row r="9">
      <c r="B9" s="1">
        <v>3.0</v>
      </c>
      <c r="C9" s="1">
        <v>3901.0</v>
      </c>
      <c r="D9" s="1">
        <v>2880.0</v>
      </c>
      <c r="E9" s="1">
        <v>2260.0</v>
      </c>
      <c r="F9" s="1">
        <v>1881.0</v>
      </c>
      <c r="G9" s="1">
        <v>1603.0</v>
      </c>
      <c r="H9" s="1">
        <v>1378.0</v>
      </c>
      <c r="I9" s="1">
        <v>1219.0</v>
      </c>
      <c r="J9" s="1">
        <v>1095.0</v>
      </c>
      <c r="K9" s="1">
        <v>967.0</v>
      </c>
      <c r="L9" s="1">
        <v>905.0</v>
      </c>
      <c r="M9" s="1">
        <v>794.0</v>
      </c>
      <c r="N9" s="1">
        <v>732.0</v>
      </c>
      <c r="O9" s="1">
        <v>668.0</v>
      </c>
      <c r="P9" s="1">
        <v>629.0</v>
      </c>
    </row>
    <row r="10">
      <c r="C10" s="3">
        <f t="shared" ref="C10:P10" si="2">STDEV(C7:C9)</f>
        <v>0.5773502692</v>
      </c>
      <c r="D10" s="3">
        <f t="shared" si="2"/>
        <v>2.081665999</v>
      </c>
      <c r="E10" s="3">
        <f t="shared" si="2"/>
        <v>1.732050808</v>
      </c>
      <c r="F10" s="3">
        <f t="shared" si="2"/>
        <v>1.154700538</v>
      </c>
      <c r="G10" s="3">
        <f t="shared" si="2"/>
        <v>1</v>
      </c>
      <c r="H10" s="3">
        <f t="shared" si="2"/>
        <v>0.5773502692</v>
      </c>
      <c r="I10" s="3">
        <f t="shared" si="2"/>
        <v>1.527525232</v>
      </c>
      <c r="J10" s="3">
        <f t="shared" si="2"/>
        <v>2.309401077</v>
      </c>
      <c r="K10" s="3">
        <f t="shared" si="2"/>
        <v>1.527525232</v>
      </c>
      <c r="L10" s="3">
        <f t="shared" si="2"/>
        <v>9.539392014</v>
      </c>
      <c r="M10" s="3">
        <f t="shared" si="2"/>
        <v>0.5773502692</v>
      </c>
      <c r="N10" s="3">
        <f t="shared" si="2"/>
        <v>2.081665999</v>
      </c>
      <c r="O10" s="3">
        <f t="shared" si="2"/>
        <v>2.516611478</v>
      </c>
      <c r="P10" s="3">
        <f t="shared" si="2"/>
        <v>12.89702808</v>
      </c>
      <c r="Q10" s="3">
        <f>AVERAGE(C10:P10)</f>
        <v>2.864258376</v>
      </c>
      <c r="R10" s="1">
        <v>2.0</v>
      </c>
    </row>
    <row r="11">
      <c r="A11" s="1">
        <v>3.0</v>
      </c>
      <c r="B11" s="1">
        <v>1.0</v>
      </c>
      <c r="C11" s="1">
        <v>4085.0</v>
      </c>
      <c r="D11" s="1">
        <v>3012.0</v>
      </c>
      <c r="E11" s="1">
        <v>2340.0</v>
      </c>
      <c r="F11" s="1">
        <v>1907.0</v>
      </c>
      <c r="G11" s="1">
        <v>1641.0</v>
      </c>
      <c r="H11" s="1">
        <v>1420.0</v>
      </c>
      <c r="I11" s="1">
        <v>1229.0</v>
      </c>
      <c r="J11" s="1">
        <v>1091.0</v>
      </c>
      <c r="K11" s="1">
        <v>991.0</v>
      </c>
      <c r="L11" s="1">
        <v>896.0</v>
      </c>
      <c r="M11" s="1">
        <v>803.0</v>
      </c>
      <c r="N11" s="1">
        <v>739.0</v>
      </c>
      <c r="O11" s="1">
        <v>675.0</v>
      </c>
      <c r="P11" s="1">
        <v>608.0</v>
      </c>
    </row>
    <row r="12">
      <c r="B12" s="1">
        <v>2.0</v>
      </c>
      <c r="C12" s="1">
        <v>4085.0</v>
      </c>
      <c r="D12" s="1">
        <v>3012.0</v>
      </c>
      <c r="E12" s="1">
        <v>2341.0</v>
      </c>
      <c r="F12" s="1">
        <v>1907.0</v>
      </c>
      <c r="G12" s="1">
        <v>1641.0</v>
      </c>
      <c r="H12" s="1">
        <v>1421.0</v>
      </c>
      <c r="I12" s="1">
        <v>1229.0</v>
      </c>
      <c r="J12" s="1">
        <v>1091.0</v>
      </c>
      <c r="K12" s="1">
        <v>991.0</v>
      </c>
      <c r="L12" s="1">
        <v>896.0</v>
      </c>
      <c r="M12" s="1">
        <v>803.0</v>
      </c>
      <c r="N12" s="1">
        <v>739.0</v>
      </c>
      <c r="O12" s="1">
        <v>675.0</v>
      </c>
      <c r="P12" s="1">
        <v>608.0</v>
      </c>
    </row>
    <row r="13">
      <c r="B13" s="1">
        <v>3.0</v>
      </c>
      <c r="C13" s="1">
        <v>4086.0</v>
      </c>
      <c r="D13" s="1">
        <v>3012.0</v>
      </c>
      <c r="E13" s="1">
        <v>2340.0</v>
      </c>
      <c r="F13" s="1">
        <v>1907.0</v>
      </c>
      <c r="G13" s="1">
        <v>1641.0</v>
      </c>
      <c r="H13" s="1">
        <v>1420.0</v>
      </c>
      <c r="I13" s="1">
        <v>1229.0</v>
      </c>
      <c r="J13" s="1">
        <v>1091.0</v>
      </c>
      <c r="K13" s="1">
        <v>991.0</v>
      </c>
      <c r="L13" s="1">
        <v>870.0</v>
      </c>
      <c r="M13" s="1">
        <v>803.0</v>
      </c>
      <c r="N13" s="1">
        <v>739.0</v>
      </c>
      <c r="O13" s="1">
        <v>675.0</v>
      </c>
      <c r="P13" s="1">
        <v>608.0</v>
      </c>
    </row>
    <row r="14">
      <c r="C14" s="3">
        <f t="shared" ref="C14:P14" si="3">STDEV(C11:C13)</f>
        <v>0.5773502692</v>
      </c>
      <c r="D14" s="3">
        <f t="shared" si="3"/>
        <v>0</v>
      </c>
      <c r="E14" s="3">
        <f t="shared" si="3"/>
        <v>0.5773502692</v>
      </c>
      <c r="F14" s="3">
        <f t="shared" si="3"/>
        <v>0</v>
      </c>
      <c r="G14" s="3">
        <f t="shared" si="3"/>
        <v>0</v>
      </c>
      <c r="H14" s="3">
        <f t="shared" si="3"/>
        <v>0.5773502692</v>
      </c>
      <c r="I14" s="3">
        <f t="shared" si="3"/>
        <v>0</v>
      </c>
      <c r="J14" s="3">
        <f t="shared" si="3"/>
        <v>0</v>
      </c>
      <c r="K14" s="3">
        <f t="shared" si="3"/>
        <v>0</v>
      </c>
      <c r="L14" s="3">
        <f t="shared" si="3"/>
        <v>15.011107</v>
      </c>
      <c r="M14" s="3">
        <f t="shared" si="3"/>
        <v>0</v>
      </c>
      <c r="N14" s="3">
        <f t="shared" si="3"/>
        <v>0</v>
      </c>
      <c r="O14" s="3">
        <f t="shared" si="3"/>
        <v>0</v>
      </c>
      <c r="P14" s="3">
        <f t="shared" si="3"/>
        <v>0</v>
      </c>
      <c r="Q14" s="3">
        <f>AVERAGE(C14:P14)</f>
        <v>1.195939843</v>
      </c>
      <c r="R14" s="1">
        <v>3.0</v>
      </c>
    </row>
    <row r="15">
      <c r="A15" s="1">
        <v>4.0</v>
      </c>
      <c r="B15" s="1">
        <v>1.0</v>
      </c>
      <c r="C15" s="1">
        <v>3659.0</v>
      </c>
      <c r="D15" s="1">
        <v>2755.0</v>
      </c>
      <c r="E15" s="1">
        <v>2156.0</v>
      </c>
      <c r="F15" s="1">
        <v>1758.0</v>
      </c>
      <c r="G15" s="1">
        <v>1525.0</v>
      </c>
      <c r="H15" s="1">
        <v>1326.0</v>
      </c>
      <c r="I15" s="1">
        <v>1163.0</v>
      </c>
      <c r="J15" s="1">
        <v>1039.0</v>
      </c>
      <c r="K15" s="1">
        <v>943.0</v>
      </c>
      <c r="L15" s="1">
        <v>851.0</v>
      </c>
      <c r="M15" s="1">
        <v>786.0</v>
      </c>
      <c r="N15" s="1">
        <v>718.0</v>
      </c>
      <c r="O15" s="1">
        <v>647.0</v>
      </c>
      <c r="P15" s="1">
        <v>605.0</v>
      </c>
    </row>
    <row r="16">
      <c r="B16" s="1">
        <v>2.0</v>
      </c>
      <c r="C16" s="1">
        <v>3655.0</v>
      </c>
      <c r="D16" s="1">
        <v>2757.0</v>
      </c>
      <c r="E16" s="1">
        <v>2154.0</v>
      </c>
      <c r="F16" s="1">
        <v>1759.0</v>
      </c>
      <c r="G16" s="1">
        <v>1526.0</v>
      </c>
      <c r="H16" s="1">
        <v>1337.0</v>
      </c>
      <c r="I16" s="1">
        <v>1170.0</v>
      </c>
      <c r="J16" s="1">
        <v>1036.0</v>
      </c>
      <c r="K16" s="1">
        <v>940.0</v>
      </c>
      <c r="L16" s="1">
        <v>845.0</v>
      </c>
      <c r="M16" s="1">
        <v>781.0</v>
      </c>
      <c r="N16" s="1">
        <v>716.0</v>
      </c>
      <c r="O16" s="1">
        <v>643.0</v>
      </c>
      <c r="P16" s="1">
        <v>607.0</v>
      </c>
    </row>
    <row r="17">
      <c r="B17" s="1">
        <v>3.0</v>
      </c>
      <c r="C17" s="1">
        <v>3656.0</v>
      </c>
      <c r="D17" s="1">
        <v>2751.0</v>
      </c>
      <c r="E17" s="1">
        <v>2158.0</v>
      </c>
      <c r="F17" s="1">
        <v>1754.0</v>
      </c>
      <c r="G17" s="1">
        <v>1516.0</v>
      </c>
      <c r="H17" s="1">
        <v>1335.0</v>
      </c>
      <c r="I17" s="1">
        <v>1164.0</v>
      </c>
      <c r="J17" s="1">
        <v>1036.0</v>
      </c>
      <c r="K17" s="1">
        <v>944.0</v>
      </c>
      <c r="L17" s="1">
        <v>843.0</v>
      </c>
      <c r="M17" s="1">
        <v>785.0</v>
      </c>
      <c r="N17" s="1">
        <v>712.0</v>
      </c>
      <c r="O17" s="1">
        <v>649.0</v>
      </c>
      <c r="P17" s="1">
        <v>616.0</v>
      </c>
    </row>
    <row r="18">
      <c r="C18" s="3">
        <f t="shared" ref="C18:M18" si="4">STDEV(C15:C17)</f>
        <v>2.081665999</v>
      </c>
      <c r="D18" s="3">
        <f t="shared" si="4"/>
        <v>3.055050463</v>
      </c>
      <c r="E18" s="3">
        <f t="shared" si="4"/>
        <v>2</v>
      </c>
      <c r="F18" s="3">
        <f t="shared" si="4"/>
        <v>2.645751311</v>
      </c>
      <c r="G18" s="3">
        <f t="shared" si="4"/>
        <v>5.507570547</v>
      </c>
      <c r="H18" s="3">
        <f t="shared" si="4"/>
        <v>5.859465277</v>
      </c>
      <c r="I18" s="3">
        <f t="shared" si="4"/>
        <v>3.785938897</v>
      </c>
      <c r="J18" s="3">
        <f t="shared" si="4"/>
        <v>1.732050808</v>
      </c>
      <c r="K18" s="3">
        <f t="shared" si="4"/>
        <v>2.081665999</v>
      </c>
      <c r="L18" s="3">
        <f t="shared" si="4"/>
        <v>4.163331999</v>
      </c>
      <c r="M18" s="3">
        <f t="shared" si="4"/>
        <v>2.645751311</v>
      </c>
      <c r="N18" s="3">
        <f>STDEV(O15:O17)</f>
        <v>3.055050463</v>
      </c>
      <c r="O18" s="3">
        <f t="shared" ref="O18:P18" si="5">STDEV(O15:O17)</f>
        <v>3.055050463</v>
      </c>
      <c r="P18" s="3">
        <f t="shared" si="5"/>
        <v>5.859465277</v>
      </c>
      <c r="Q18" s="3">
        <f>AVERAGE(C18:P18)</f>
        <v>3.394843487</v>
      </c>
      <c r="R18" s="1">
        <v>4.0</v>
      </c>
    </row>
    <row r="19">
      <c r="A19" s="1">
        <v>5.0</v>
      </c>
      <c r="B19" s="1">
        <v>1.0</v>
      </c>
      <c r="C19" s="1">
        <v>3843.0</v>
      </c>
      <c r="D19" s="1">
        <v>2918.0</v>
      </c>
      <c r="E19" s="1">
        <v>2279.0</v>
      </c>
      <c r="F19" s="1">
        <v>1875.0</v>
      </c>
      <c r="G19" s="1">
        <v>1596.0</v>
      </c>
      <c r="H19" s="1">
        <v>1419.0</v>
      </c>
      <c r="I19" s="1">
        <v>1274.0</v>
      </c>
      <c r="J19" s="1">
        <v>1165.0</v>
      </c>
      <c r="K19" s="1">
        <v>1102.0</v>
      </c>
      <c r="L19" s="1">
        <v>1032.0</v>
      </c>
      <c r="M19" s="1">
        <v>968.0</v>
      </c>
      <c r="N19" s="1">
        <v>935.0</v>
      </c>
      <c r="O19" s="1">
        <v>903.0</v>
      </c>
      <c r="P19" s="1">
        <v>871.0</v>
      </c>
    </row>
    <row r="20">
      <c r="B20" s="1">
        <v>2.0</v>
      </c>
      <c r="C20" s="1">
        <v>3846.0</v>
      </c>
      <c r="D20" s="1">
        <v>2917.0</v>
      </c>
      <c r="E20" s="1">
        <v>2279.0</v>
      </c>
      <c r="F20" s="1">
        <v>1875.0</v>
      </c>
      <c r="G20" s="1">
        <v>1597.0</v>
      </c>
      <c r="H20" s="1">
        <v>1419.0</v>
      </c>
      <c r="I20" s="1">
        <v>1284.0</v>
      </c>
      <c r="J20" s="1">
        <v>1165.0</v>
      </c>
      <c r="K20" s="1">
        <v>1102.0</v>
      </c>
      <c r="L20" s="1">
        <v>1032.0</v>
      </c>
      <c r="M20" s="1">
        <v>967.0</v>
      </c>
      <c r="N20" s="1">
        <v>936.0</v>
      </c>
      <c r="O20" s="1">
        <v>903.0</v>
      </c>
      <c r="P20" s="1">
        <v>871.0</v>
      </c>
    </row>
    <row r="21">
      <c r="B21" s="1">
        <v>3.0</v>
      </c>
      <c r="C21" s="1">
        <v>3845.0</v>
      </c>
      <c r="D21" s="1">
        <v>2917.0</v>
      </c>
      <c r="E21" s="1">
        <v>2278.0</v>
      </c>
      <c r="F21" s="1">
        <v>1875.0</v>
      </c>
      <c r="G21" s="1">
        <v>1596.0</v>
      </c>
      <c r="H21" s="1">
        <v>1418.0</v>
      </c>
      <c r="I21" s="1">
        <v>1276.0</v>
      </c>
      <c r="J21" s="1">
        <v>1164.0</v>
      </c>
      <c r="K21" s="1">
        <v>1102.0</v>
      </c>
      <c r="L21" s="1">
        <v>1031.0</v>
      </c>
      <c r="M21" s="1">
        <v>967.0</v>
      </c>
      <c r="N21" s="1">
        <v>935.0</v>
      </c>
      <c r="O21" s="1">
        <v>904.0</v>
      </c>
      <c r="P21" s="1">
        <v>871.0</v>
      </c>
    </row>
    <row r="22">
      <c r="C22" s="3">
        <f t="shared" ref="C22:P22" si="6">STDEV(C19:C21)</f>
        <v>1.527525232</v>
      </c>
      <c r="D22" s="3">
        <f t="shared" si="6"/>
        <v>0.5773502692</v>
      </c>
      <c r="E22" s="3">
        <f t="shared" si="6"/>
        <v>0.5773502692</v>
      </c>
      <c r="F22" s="3">
        <f t="shared" si="6"/>
        <v>0</v>
      </c>
      <c r="G22" s="3">
        <f t="shared" si="6"/>
        <v>0.5773502692</v>
      </c>
      <c r="H22" s="3">
        <f t="shared" si="6"/>
        <v>0.5773502692</v>
      </c>
      <c r="I22" s="3">
        <f t="shared" si="6"/>
        <v>5.291502622</v>
      </c>
      <c r="J22" s="3">
        <f t="shared" si="6"/>
        <v>0.5773502692</v>
      </c>
      <c r="K22" s="3">
        <f t="shared" si="6"/>
        <v>0</v>
      </c>
      <c r="L22" s="3">
        <f t="shared" si="6"/>
        <v>0.5773502692</v>
      </c>
      <c r="M22" s="3">
        <f t="shared" si="6"/>
        <v>0.5773502692</v>
      </c>
      <c r="N22" s="3">
        <f t="shared" si="6"/>
        <v>0.5773502692</v>
      </c>
      <c r="O22" s="3">
        <f t="shared" si="6"/>
        <v>0.5773502692</v>
      </c>
      <c r="P22" s="3">
        <f t="shared" si="6"/>
        <v>0</v>
      </c>
      <c r="Q22" s="3">
        <f>AVERAGE(C22:P22)</f>
        <v>0.8582271626</v>
      </c>
      <c r="R22" s="1">
        <v>5.0</v>
      </c>
    </row>
    <row r="23">
      <c r="A23" s="1">
        <v>6.0</v>
      </c>
      <c r="B23" s="1">
        <v>1.0</v>
      </c>
      <c r="C23" s="1">
        <v>3956.0</v>
      </c>
      <c r="D23" s="1">
        <v>2888.0</v>
      </c>
      <c r="E23" s="1">
        <v>2302.0</v>
      </c>
      <c r="F23" s="1">
        <v>1866.0</v>
      </c>
      <c r="G23" s="1">
        <v>1612.0</v>
      </c>
      <c r="H23" s="1">
        <v>1422.0</v>
      </c>
      <c r="I23" s="1">
        <v>1295.0</v>
      </c>
      <c r="J23" s="1">
        <v>1199.0</v>
      </c>
      <c r="K23" s="1">
        <v>1096.0</v>
      </c>
      <c r="L23" s="1">
        <v>1000.0</v>
      </c>
      <c r="M23" s="1">
        <v>976.0</v>
      </c>
      <c r="N23" s="1">
        <v>936.0</v>
      </c>
      <c r="O23" s="1">
        <v>904.0</v>
      </c>
      <c r="P23" s="1">
        <v>872.0</v>
      </c>
    </row>
    <row r="24">
      <c r="B24" s="1">
        <v>2.0</v>
      </c>
      <c r="C24" s="1">
        <v>3955.0</v>
      </c>
      <c r="D24" s="1">
        <v>2896.0</v>
      </c>
      <c r="E24" s="1">
        <v>2302.0</v>
      </c>
      <c r="F24" s="1">
        <v>1865.0</v>
      </c>
      <c r="G24" s="1">
        <v>1612.0</v>
      </c>
      <c r="H24" s="1">
        <v>1421.0</v>
      </c>
      <c r="I24" s="1">
        <v>1295.0</v>
      </c>
      <c r="J24" s="1">
        <v>1199.0</v>
      </c>
      <c r="K24" s="1">
        <v>1096.0</v>
      </c>
      <c r="L24" s="1">
        <v>1000.0</v>
      </c>
      <c r="M24" s="1">
        <v>972.0</v>
      </c>
      <c r="N24" s="1">
        <v>936.0</v>
      </c>
      <c r="O24" s="1">
        <v>904.0</v>
      </c>
      <c r="P24" s="1">
        <v>872.0</v>
      </c>
    </row>
    <row r="25">
      <c r="B25" s="1">
        <v>3.0</v>
      </c>
      <c r="C25" s="1">
        <v>3956.0</v>
      </c>
      <c r="D25" s="1">
        <v>2887.0</v>
      </c>
      <c r="E25" s="1">
        <v>2301.0</v>
      </c>
      <c r="F25" s="1">
        <v>1866.0</v>
      </c>
      <c r="G25" s="1">
        <v>1612.0</v>
      </c>
      <c r="H25" s="1">
        <v>1422.0</v>
      </c>
      <c r="I25" s="1">
        <v>1295.0</v>
      </c>
      <c r="J25" s="1">
        <v>1199.0</v>
      </c>
      <c r="K25" s="1">
        <v>1097.0</v>
      </c>
      <c r="L25" s="1">
        <v>1000.0</v>
      </c>
      <c r="M25" s="1">
        <v>974.0</v>
      </c>
      <c r="N25" s="1">
        <v>935.0</v>
      </c>
      <c r="O25" s="1">
        <v>904.0</v>
      </c>
      <c r="P25" s="1">
        <v>872.0</v>
      </c>
    </row>
    <row r="26">
      <c r="C26" s="3">
        <f t="shared" ref="C26:P26" si="7">STDEV(C23:C25)</f>
        <v>0.5773502692</v>
      </c>
      <c r="D26" s="3">
        <f t="shared" si="7"/>
        <v>4.932882862</v>
      </c>
      <c r="E26" s="3">
        <f t="shared" si="7"/>
        <v>0.5773502692</v>
      </c>
      <c r="F26" s="3">
        <f t="shared" si="7"/>
        <v>0.5773502692</v>
      </c>
      <c r="G26" s="3">
        <f t="shared" si="7"/>
        <v>0</v>
      </c>
      <c r="H26" s="3">
        <f t="shared" si="7"/>
        <v>0.5773502692</v>
      </c>
      <c r="I26" s="3">
        <f t="shared" si="7"/>
        <v>0</v>
      </c>
      <c r="J26" s="3">
        <f t="shared" si="7"/>
        <v>0</v>
      </c>
      <c r="K26" s="3">
        <f t="shared" si="7"/>
        <v>0.5773502692</v>
      </c>
      <c r="L26" s="3">
        <f t="shared" si="7"/>
        <v>0</v>
      </c>
      <c r="M26" s="3">
        <f t="shared" si="7"/>
        <v>2</v>
      </c>
      <c r="N26" s="3">
        <f t="shared" si="7"/>
        <v>0.5773502692</v>
      </c>
      <c r="O26" s="3">
        <f t="shared" si="7"/>
        <v>0</v>
      </c>
      <c r="P26" s="3">
        <f t="shared" si="7"/>
        <v>0</v>
      </c>
      <c r="Q26" s="3">
        <f>AVERAGE(C26:P26)</f>
        <v>0.7426417484</v>
      </c>
      <c r="R26" s="1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3" max="22" width="8.14"/>
  </cols>
  <sheetData>
    <row r="1">
      <c r="C1" s="1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 t="s">
        <v>57</v>
      </c>
      <c r="B2" s="1" t="s">
        <v>58</v>
      </c>
      <c r="C2" s="2">
        <v>4.0</v>
      </c>
      <c r="D2" s="2">
        <v>6.0</v>
      </c>
      <c r="E2" s="2">
        <v>8.0</v>
      </c>
      <c r="F2" s="2">
        <v>10.0</v>
      </c>
      <c r="G2" s="2">
        <v>12.0</v>
      </c>
      <c r="H2" s="2">
        <v>14.0</v>
      </c>
      <c r="I2" s="2">
        <v>16.0</v>
      </c>
      <c r="J2" s="2">
        <v>18.0</v>
      </c>
      <c r="K2" s="2">
        <v>20.0</v>
      </c>
      <c r="L2" s="2">
        <v>22.0</v>
      </c>
      <c r="M2" s="2">
        <v>24.0</v>
      </c>
      <c r="N2" s="2">
        <v>26.0</v>
      </c>
      <c r="O2" s="2">
        <v>28.0</v>
      </c>
      <c r="P2" s="2">
        <v>30.0</v>
      </c>
    </row>
    <row r="3">
      <c r="A3" s="1">
        <v>1.0</v>
      </c>
      <c r="B3" s="1">
        <v>1.0</v>
      </c>
      <c r="C3" s="1">
        <v>3608.0</v>
      </c>
      <c r="D3" s="1">
        <v>2706.0</v>
      </c>
      <c r="E3" s="1">
        <v>2149.0</v>
      </c>
      <c r="F3" s="1">
        <v>1780.0</v>
      </c>
      <c r="G3" s="1">
        <v>1526.0</v>
      </c>
      <c r="H3" s="1">
        <v>1335.0</v>
      </c>
      <c r="I3" s="1">
        <v>1167.0</v>
      </c>
      <c r="J3" s="1">
        <v>1040.0</v>
      </c>
      <c r="K3" s="1">
        <v>944.0</v>
      </c>
      <c r="L3" s="1">
        <v>848.0</v>
      </c>
      <c r="M3" s="1">
        <v>785.0</v>
      </c>
      <c r="N3" s="1">
        <v>711.0</v>
      </c>
      <c r="O3" s="1">
        <v>647.0</v>
      </c>
      <c r="P3" s="1">
        <v>582.0</v>
      </c>
    </row>
    <row r="4">
      <c r="B4" s="1">
        <v>2.0</v>
      </c>
      <c r="C4" s="1">
        <v>3608.0</v>
      </c>
      <c r="D4" s="1">
        <v>2706.0</v>
      </c>
      <c r="E4" s="1">
        <v>2147.0</v>
      </c>
      <c r="F4" s="1">
        <v>1781.0</v>
      </c>
      <c r="G4" s="1">
        <v>1526.0</v>
      </c>
      <c r="H4" s="1">
        <v>1336.0</v>
      </c>
      <c r="I4" s="1">
        <v>1167.0</v>
      </c>
      <c r="J4" s="1">
        <v>1040.0</v>
      </c>
      <c r="K4" s="1">
        <v>944.0</v>
      </c>
      <c r="L4" s="1">
        <v>848.0</v>
      </c>
      <c r="M4" s="1">
        <v>785.0</v>
      </c>
      <c r="N4" s="1">
        <v>711.0</v>
      </c>
      <c r="O4" s="1">
        <v>647.0</v>
      </c>
      <c r="P4" s="1">
        <v>582.0</v>
      </c>
    </row>
    <row r="5">
      <c r="B5" s="1">
        <v>3.0</v>
      </c>
      <c r="C5" s="1">
        <v>3609.0</v>
      </c>
      <c r="D5" s="1">
        <v>2705.0</v>
      </c>
      <c r="E5" s="1">
        <v>2141.0</v>
      </c>
      <c r="F5" s="1">
        <v>1780.0</v>
      </c>
      <c r="G5" s="1">
        <v>1526.0</v>
      </c>
      <c r="H5" s="1">
        <v>1335.0</v>
      </c>
      <c r="I5" s="1">
        <v>1167.0</v>
      </c>
      <c r="J5" s="1">
        <v>1040.0</v>
      </c>
      <c r="K5" s="1">
        <v>944.0</v>
      </c>
      <c r="L5" s="1">
        <v>847.0</v>
      </c>
      <c r="M5" s="1">
        <v>785.0</v>
      </c>
      <c r="N5" s="1">
        <v>711.0</v>
      </c>
      <c r="O5" s="1">
        <v>646.0</v>
      </c>
      <c r="P5" s="1">
        <v>603.0</v>
      </c>
    </row>
    <row r="6">
      <c r="C6" s="2">
        <v>4.0</v>
      </c>
      <c r="D6" s="2">
        <v>6.0</v>
      </c>
      <c r="E6" s="2">
        <v>8.0</v>
      </c>
      <c r="F6" s="2">
        <v>10.0</v>
      </c>
      <c r="G6" s="2">
        <v>12.0</v>
      </c>
      <c r="H6" s="2">
        <v>14.0</v>
      </c>
      <c r="I6" s="2">
        <v>16.0</v>
      </c>
      <c r="J6" s="2">
        <v>18.0</v>
      </c>
      <c r="K6" s="2">
        <v>20.0</v>
      </c>
      <c r="L6" s="2">
        <v>22.0</v>
      </c>
      <c r="M6" s="2">
        <v>24.0</v>
      </c>
      <c r="N6" s="2">
        <v>26.0</v>
      </c>
      <c r="O6" s="2">
        <v>28.0</v>
      </c>
      <c r="P6" s="2">
        <v>30.0</v>
      </c>
      <c r="Q6" s="4">
        <f>AVERAGE(C6:P6)</f>
        <v>17</v>
      </c>
      <c r="R6" s="1">
        <v>1.0</v>
      </c>
    </row>
    <row r="7">
      <c r="A7" s="1">
        <v>2.0</v>
      </c>
      <c r="B7" s="1">
        <v>1.0</v>
      </c>
      <c r="C7" s="1">
        <v>3901.0</v>
      </c>
      <c r="D7" s="1">
        <v>2876.0</v>
      </c>
      <c r="E7" s="1">
        <v>2257.0</v>
      </c>
      <c r="F7" s="1">
        <v>1883.0</v>
      </c>
      <c r="G7" s="1">
        <v>1604.0</v>
      </c>
      <c r="H7" s="1">
        <v>1378.0</v>
      </c>
      <c r="I7" s="1">
        <v>1218.0</v>
      </c>
      <c r="J7" s="1">
        <v>1091.0</v>
      </c>
      <c r="K7" s="1">
        <v>965.0</v>
      </c>
      <c r="L7" s="1">
        <v>906.0</v>
      </c>
      <c r="M7" s="1">
        <v>793.0</v>
      </c>
      <c r="N7" s="1">
        <v>731.0</v>
      </c>
      <c r="O7" s="1">
        <v>663.0</v>
      </c>
      <c r="P7" s="1">
        <v>611.0</v>
      </c>
    </row>
    <row r="8">
      <c r="B8" s="1">
        <v>2.0</v>
      </c>
      <c r="C8" s="1">
        <v>3900.0</v>
      </c>
      <c r="D8" s="1">
        <v>2877.0</v>
      </c>
      <c r="E8" s="1">
        <v>2260.0</v>
      </c>
      <c r="F8" s="1">
        <v>1881.0</v>
      </c>
      <c r="G8" s="1">
        <v>1602.0</v>
      </c>
      <c r="H8" s="1">
        <v>1379.0</v>
      </c>
      <c r="I8" s="1">
        <v>1216.0</v>
      </c>
      <c r="J8" s="1">
        <v>1095.0</v>
      </c>
      <c r="K8" s="1">
        <v>964.0</v>
      </c>
      <c r="L8" s="1">
        <v>889.0</v>
      </c>
      <c r="M8" s="1">
        <v>794.0</v>
      </c>
      <c r="N8" s="1">
        <v>728.0</v>
      </c>
      <c r="O8" s="1">
        <v>665.0</v>
      </c>
      <c r="P8" s="1">
        <v>604.0</v>
      </c>
    </row>
    <row r="9">
      <c r="B9" s="1">
        <v>3.0</v>
      </c>
      <c r="C9" s="1">
        <v>3901.0</v>
      </c>
      <c r="D9" s="1">
        <v>2880.0</v>
      </c>
      <c r="E9" s="1">
        <v>2260.0</v>
      </c>
      <c r="F9" s="1">
        <v>1881.0</v>
      </c>
      <c r="G9" s="1">
        <v>1603.0</v>
      </c>
      <c r="H9" s="1">
        <v>1378.0</v>
      </c>
      <c r="I9" s="1">
        <v>1219.0</v>
      </c>
      <c r="J9" s="1">
        <v>1095.0</v>
      </c>
      <c r="K9" s="1">
        <v>967.0</v>
      </c>
      <c r="L9" s="1">
        <v>905.0</v>
      </c>
      <c r="M9" s="1">
        <v>794.0</v>
      </c>
      <c r="N9" s="1">
        <v>732.0</v>
      </c>
      <c r="O9" s="1">
        <v>668.0</v>
      </c>
      <c r="P9" s="1">
        <v>629.0</v>
      </c>
    </row>
    <row r="10">
      <c r="C10" s="2">
        <v>4.0</v>
      </c>
      <c r="D10" s="2">
        <v>6.0</v>
      </c>
      <c r="E10" s="2">
        <v>8.0</v>
      </c>
      <c r="F10" s="2">
        <v>10.0</v>
      </c>
      <c r="G10" s="2">
        <v>12.0</v>
      </c>
      <c r="H10" s="2">
        <v>14.0</v>
      </c>
      <c r="I10" s="2">
        <v>16.0</v>
      </c>
      <c r="J10" s="2">
        <v>18.0</v>
      </c>
      <c r="K10" s="2">
        <v>20.0</v>
      </c>
      <c r="L10" s="2">
        <v>22.0</v>
      </c>
      <c r="M10" s="2">
        <v>24.0</v>
      </c>
      <c r="N10" s="2">
        <v>26.0</v>
      </c>
      <c r="O10" s="2">
        <v>28.0</v>
      </c>
      <c r="P10" s="2">
        <v>30.0</v>
      </c>
      <c r="Q10" s="4">
        <f>AVERAGE(C10:P10)</f>
        <v>17</v>
      </c>
      <c r="R10" s="1">
        <v>2.0</v>
      </c>
    </row>
    <row r="11">
      <c r="A11" s="1">
        <v>3.0</v>
      </c>
      <c r="B11" s="1">
        <v>1.0</v>
      </c>
      <c r="C11" s="1">
        <v>4085.0</v>
      </c>
      <c r="D11" s="1">
        <v>3012.0</v>
      </c>
      <c r="E11" s="1">
        <v>2340.0</v>
      </c>
      <c r="F11" s="1">
        <v>1907.0</v>
      </c>
      <c r="G11" s="1">
        <v>1641.0</v>
      </c>
      <c r="H11" s="1">
        <v>1420.0</v>
      </c>
      <c r="I11" s="1">
        <v>1229.0</v>
      </c>
      <c r="J11" s="1">
        <v>1091.0</v>
      </c>
      <c r="K11" s="1">
        <v>991.0</v>
      </c>
      <c r="L11" s="1">
        <v>896.0</v>
      </c>
      <c r="M11" s="1">
        <v>803.0</v>
      </c>
      <c r="N11" s="1">
        <v>739.0</v>
      </c>
      <c r="O11" s="1">
        <v>675.0</v>
      </c>
      <c r="P11" s="1">
        <v>608.0</v>
      </c>
    </row>
    <row r="12">
      <c r="B12" s="1">
        <v>2.0</v>
      </c>
      <c r="C12" s="1">
        <v>4085.0</v>
      </c>
      <c r="D12" s="1">
        <v>3012.0</v>
      </c>
      <c r="E12" s="1">
        <v>2341.0</v>
      </c>
      <c r="F12" s="1">
        <v>1907.0</v>
      </c>
      <c r="G12" s="1">
        <v>1641.0</v>
      </c>
      <c r="H12" s="1">
        <v>1421.0</v>
      </c>
      <c r="I12" s="1">
        <v>1229.0</v>
      </c>
      <c r="J12" s="1">
        <v>1091.0</v>
      </c>
      <c r="K12" s="1">
        <v>991.0</v>
      </c>
      <c r="L12" s="1">
        <v>896.0</v>
      </c>
      <c r="M12" s="1">
        <v>803.0</v>
      </c>
      <c r="N12" s="1">
        <v>739.0</v>
      </c>
      <c r="O12" s="1">
        <v>675.0</v>
      </c>
      <c r="P12" s="1">
        <v>608.0</v>
      </c>
    </row>
    <row r="13">
      <c r="B13" s="1">
        <v>3.0</v>
      </c>
      <c r="C13" s="1">
        <v>4086.0</v>
      </c>
      <c r="D13" s="1">
        <v>3012.0</v>
      </c>
      <c r="E13" s="1">
        <v>2340.0</v>
      </c>
      <c r="F13" s="1">
        <v>1907.0</v>
      </c>
      <c r="G13" s="1">
        <v>1641.0</v>
      </c>
      <c r="H13" s="1">
        <v>1420.0</v>
      </c>
      <c r="I13" s="1">
        <v>1229.0</v>
      </c>
      <c r="J13" s="1">
        <v>1091.0</v>
      </c>
      <c r="K13" s="1">
        <v>991.0</v>
      </c>
      <c r="L13" s="1">
        <v>870.0</v>
      </c>
      <c r="M13" s="1">
        <v>803.0</v>
      </c>
      <c r="N13" s="1">
        <v>739.0</v>
      </c>
      <c r="O13" s="1">
        <v>675.0</v>
      </c>
      <c r="P13" s="1">
        <v>608.0</v>
      </c>
    </row>
    <row r="14">
      <c r="C14" s="2">
        <v>4.0</v>
      </c>
      <c r="D14" s="2">
        <v>6.0</v>
      </c>
      <c r="E14" s="2">
        <v>8.0</v>
      </c>
      <c r="F14" s="2">
        <v>10.0</v>
      </c>
      <c r="G14" s="2">
        <v>12.0</v>
      </c>
      <c r="H14" s="2">
        <v>14.0</v>
      </c>
      <c r="I14" s="2">
        <v>16.0</v>
      </c>
      <c r="J14" s="2">
        <v>18.0</v>
      </c>
      <c r="K14" s="2">
        <v>20.0</v>
      </c>
      <c r="L14" s="2">
        <v>22.0</v>
      </c>
      <c r="M14" s="2">
        <v>24.0</v>
      </c>
      <c r="N14" s="2">
        <v>26.0</v>
      </c>
      <c r="O14" s="2">
        <v>28.0</v>
      </c>
      <c r="P14" s="2">
        <v>30.0</v>
      </c>
      <c r="Q14" s="4">
        <f>AVERAGE(C14:P14)</f>
        <v>17</v>
      </c>
      <c r="R14" s="1">
        <v>3.0</v>
      </c>
    </row>
    <row r="15">
      <c r="A15" s="1">
        <v>4.0</v>
      </c>
      <c r="B15" s="1">
        <v>1.0</v>
      </c>
      <c r="C15" s="1">
        <v>3659.0</v>
      </c>
      <c r="D15" s="1">
        <v>2755.0</v>
      </c>
      <c r="E15" s="1">
        <v>2156.0</v>
      </c>
      <c r="F15" s="1">
        <v>1758.0</v>
      </c>
      <c r="G15" s="1">
        <v>1525.0</v>
      </c>
      <c r="H15" s="1">
        <v>1326.0</v>
      </c>
      <c r="I15" s="1">
        <v>1163.0</v>
      </c>
      <c r="J15" s="1">
        <v>1039.0</v>
      </c>
      <c r="K15" s="1">
        <v>943.0</v>
      </c>
      <c r="L15" s="1">
        <v>851.0</v>
      </c>
      <c r="M15" s="1">
        <v>786.0</v>
      </c>
      <c r="N15" s="1">
        <v>718.0</v>
      </c>
      <c r="O15" s="1">
        <v>647.0</v>
      </c>
      <c r="P15" s="1">
        <v>605.0</v>
      </c>
    </row>
    <row r="16">
      <c r="B16" s="1">
        <v>2.0</v>
      </c>
      <c r="C16" s="1">
        <v>3655.0</v>
      </c>
      <c r="D16" s="1">
        <v>2757.0</v>
      </c>
      <c r="E16" s="1">
        <v>2154.0</v>
      </c>
      <c r="F16" s="1">
        <v>1759.0</v>
      </c>
      <c r="G16" s="1">
        <v>1526.0</v>
      </c>
      <c r="H16" s="1">
        <v>1337.0</v>
      </c>
      <c r="I16" s="1">
        <v>1170.0</v>
      </c>
      <c r="J16" s="1">
        <v>1036.0</v>
      </c>
      <c r="K16" s="1">
        <v>940.0</v>
      </c>
      <c r="L16" s="1">
        <v>845.0</v>
      </c>
      <c r="M16" s="1">
        <v>781.0</v>
      </c>
      <c r="N16" s="1">
        <v>716.0</v>
      </c>
      <c r="O16" s="1">
        <v>643.0</v>
      </c>
      <c r="P16" s="1">
        <v>607.0</v>
      </c>
    </row>
    <row r="17">
      <c r="B17" s="1">
        <v>3.0</v>
      </c>
      <c r="C17" s="1">
        <v>3656.0</v>
      </c>
      <c r="D17" s="1">
        <v>2751.0</v>
      </c>
      <c r="E17" s="1">
        <v>2158.0</v>
      </c>
      <c r="F17" s="1">
        <v>1754.0</v>
      </c>
      <c r="G17" s="1">
        <v>1516.0</v>
      </c>
      <c r="H17" s="1">
        <v>1335.0</v>
      </c>
      <c r="I17" s="1">
        <v>1164.0</v>
      </c>
      <c r="J17" s="1">
        <v>1036.0</v>
      </c>
      <c r="K17" s="1">
        <v>944.0</v>
      </c>
      <c r="L17" s="1">
        <v>843.0</v>
      </c>
      <c r="M17" s="1">
        <v>785.0</v>
      </c>
      <c r="N17" s="1">
        <v>712.0</v>
      </c>
      <c r="O17" s="1">
        <v>649.0</v>
      </c>
      <c r="P17" s="1">
        <v>616.0</v>
      </c>
    </row>
    <row r="18">
      <c r="C18" s="2">
        <v>4.0</v>
      </c>
      <c r="D18" s="2">
        <v>6.0</v>
      </c>
      <c r="E18" s="2">
        <v>8.0</v>
      </c>
      <c r="F18" s="2">
        <v>10.0</v>
      </c>
      <c r="G18" s="2">
        <v>12.0</v>
      </c>
      <c r="H18" s="2">
        <v>14.0</v>
      </c>
      <c r="I18" s="2">
        <v>16.0</v>
      </c>
      <c r="J18" s="2">
        <v>18.0</v>
      </c>
      <c r="K18" s="2">
        <v>20.0</v>
      </c>
      <c r="L18" s="2">
        <v>22.0</v>
      </c>
      <c r="M18" s="2">
        <v>24.0</v>
      </c>
      <c r="N18" s="2">
        <v>26.0</v>
      </c>
      <c r="O18" s="2">
        <v>28.0</v>
      </c>
      <c r="P18" s="2">
        <v>30.0</v>
      </c>
      <c r="Q18" s="4">
        <f>AVERAGE(C18:P18)</f>
        <v>17</v>
      </c>
      <c r="R18" s="1">
        <v>4.0</v>
      </c>
    </row>
    <row r="19">
      <c r="A19" s="1">
        <v>5.0</v>
      </c>
      <c r="B19" s="1">
        <v>1.0</v>
      </c>
      <c r="C19" s="1">
        <v>3843.0</v>
      </c>
      <c r="D19" s="1">
        <v>2918.0</v>
      </c>
      <c r="E19" s="1">
        <v>2279.0</v>
      </c>
      <c r="F19" s="1">
        <v>1875.0</v>
      </c>
      <c r="G19" s="1">
        <v>1596.0</v>
      </c>
      <c r="H19" s="1">
        <v>1419.0</v>
      </c>
      <c r="I19" s="1">
        <v>1274.0</v>
      </c>
      <c r="J19" s="1">
        <v>1165.0</v>
      </c>
      <c r="K19" s="1">
        <v>1102.0</v>
      </c>
      <c r="L19" s="1">
        <v>1032.0</v>
      </c>
      <c r="M19" s="1">
        <v>968.0</v>
      </c>
      <c r="N19" s="1">
        <v>935.0</v>
      </c>
      <c r="O19" s="1">
        <v>903.0</v>
      </c>
      <c r="P19" s="1">
        <v>871.0</v>
      </c>
    </row>
    <row r="20">
      <c r="B20" s="1">
        <v>2.0</v>
      </c>
      <c r="C20" s="1">
        <v>3846.0</v>
      </c>
      <c r="D20" s="1">
        <v>2917.0</v>
      </c>
      <c r="E20" s="1">
        <v>2279.0</v>
      </c>
      <c r="F20" s="1">
        <v>1875.0</v>
      </c>
      <c r="G20" s="1">
        <v>1597.0</v>
      </c>
      <c r="H20" s="1">
        <v>1419.0</v>
      </c>
      <c r="I20" s="1">
        <v>1284.0</v>
      </c>
      <c r="J20" s="1">
        <v>1165.0</v>
      </c>
      <c r="K20" s="1">
        <v>1102.0</v>
      </c>
      <c r="L20" s="1">
        <v>1032.0</v>
      </c>
      <c r="M20" s="1">
        <v>967.0</v>
      </c>
      <c r="N20" s="1">
        <v>936.0</v>
      </c>
      <c r="O20" s="1">
        <v>903.0</v>
      </c>
      <c r="P20" s="1">
        <v>871.0</v>
      </c>
    </row>
    <row r="21">
      <c r="B21" s="1">
        <v>3.0</v>
      </c>
      <c r="C21" s="1">
        <v>3845.0</v>
      </c>
      <c r="D21" s="1">
        <v>2917.0</v>
      </c>
      <c r="E21" s="1">
        <v>2278.0</v>
      </c>
      <c r="F21" s="1">
        <v>1875.0</v>
      </c>
      <c r="G21" s="1">
        <v>1596.0</v>
      </c>
      <c r="H21" s="1">
        <v>1418.0</v>
      </c>
      <c r="I21" s="1">
        <v>1276.0</v>
      </c>
      <c r="J21" s="1">
        <v>1164.0</v>
      </c>
      <c r="K21" s="1">
        <v>1102.0</v>
      </c>
      <c r="L21" s="1">
        <v>1031.0</v>
      </c>
      <c r="M21" s="1">
        <v>967.0</v>
      </c>
      <c r="N21" s="1">
        <v>935.0</v>
      </c>
      <c r="O21" s="1">
        <v>904.0</v>
      </c>
      <c r="P21" s="1">
        <v>871.0</v>
      </c>
    </row>
    <row r="22">
      <c r="C22" s="2">
        <v>4.0</v>
      </c>
      <c r="D22" s="2">
        <v>6.0</v>
      </c>
      <c r="E22" s="2">
        <v>8.0</v>
      </c>
      <c r="F22" s="2">
        <v>10.0</v>
      </c>
      <c r="G22" s="2">
        <v>12.0</v>
      </c>
      <c r="H22" s="2">
        <v>14.0</v>
      </c>
      <c r="I22" s="2">
        <v>16.0</v>
      </c>
      <c r="J22" s="2">
        <v>18.0</v>
      </c>
      <c r="K22" s="2">
        <v>20.0</v>
      </c>
      <c r="L22" s="2">
        <v>22.0</v>
      </c>
      <c r="M22" s="2">
        <v>24.0</v>
      </c>
      <c r="N22" s="2">
        <v>26.0</v>
      </c>
      <c r="O22" s="2">
        <v>28.0</v>
      </c>
      <c r="P22" s="2">
        <v>30.0</v>
      </c>
      <c r="Q22" s="4">
        <f>AVERAGE(C22:P22)</f>
        <v>17</v>
      </c>
      <c r="R22" s="1">
        <v>5.0</v>
      </c>
    </row>
    <row r="23">
      <c r="A23" s="1">
        <v>6.0</v>
      </c>
      <c r="B23" s="1">
        <v>1.0</v>
      </c>
      <c r="C23" s="1">
        <v>3956.0</v>
      </c>
      <c r="D23" s="1">
        <v>2888.0</v>
      </c>
      <c r="E23" s="1">
        <v>2302.0</v>
      </c>
      <c r="F23" s="1">
        <v>1866.0</v>
      </c>
      <c r="G23" s="1">
        <v>1612.0</v>
      </c>
      <c r="H23" s="1">
        <v>1422.0</v>
      </c>
      <c r="I23" s="1">
        <v>1295.0</v>
      </c>
      <c r="J23" s="1">
        <v>1199.0</v>
      </c>
      <c r="K23" s="1">
        <v>1096.0</v>
      </c>
      <c r="L23" s="1">
        <v>1000.0</v>
      </c>
      <c r="M23" s="1">
        <v>976.0</v>
      </c>
      <c r="N23" s="1">
        <v>936.0</v>
      </c>
      <c r="O23" s="1">
        <v>904.0</v>
      </c>
      <c r="P23" s="1">
        <v>872.0</v>
      </c>
    </row>
    <row r="24">
      <c r="B24" s="1">
        <v>2.0</v>
      </c>
      <c r="C24" s="1">
        <v>3955.0</v>
      </c>
      <c r="D24" s="1">
        <v>2896.0</v>
      </c>
      <c r="E24" s="1">
        <v>2302.0</v>
      </c>
      <c r="F24" s="1">
        <v>1865.0</v>
      </c>
      <c r="G24" s="1">
        <v>1612.0</v>
      </c>
      <c r="H24" s="1">
        <v>1421.0</v>
      </c>
      <c r="I24" s="1">
        <v>1295.0</v>
      </c>
      <c r="J24" s="1">
        <v>1199.0</v>
      </c>
      <c r="K24" s="1">
        <v>1096.0</v>
      </c>
      <c r="L24" s="1">
        <v>1000.0</v>
      </c>
      <c r="M24" s="1">
        <v>972.0</v>
      </c>
      <c r="N24" s="1">
        <v>936.0</v>
      </c>
      <c r="O24" s="1">
        <v>904.0</v>
      </c>
      <c r="P24" s="1">
        <v>872.0</v>
      </c>
    </row>
    <row r="25">
      <c r="B25" s="1">
        <v>3.0</v>
      </c>
      <c r="C25" s="1">
        <v>3956.0</v>
      </c>
      <c r="D25" s="1">
        <v>2887.0</v>
      </c>
      <c r="E25" s="1">
        <v>2301.0</v>
      </c>
      <c r="F25" s="1">
        <v>1866.0</v>
      </c>
      <c r="G25" s="1">
        <v>1612.0</v>
      </c>
      <c r="H25" s="1">
        <v>1422.0</v>
      </c>
      <c r="I25" s="1">
        <v>1295.0</v>
      </c>
      <c r="J25" s="1">
        <v>1199.0</v>
      </c>
      <c r="K25" s="1">
        <v>1097.0</v>
      </c>
      <c r="L25" s="1">
        <v>1000.0</v>
      </c>
      <c r="M25" s="1">
        <v>974.0</v>
      </c>
      <c r="N25" s="1">
        <v>935.0</v>
      </c>
      <c r="O25" s="1">
        <v>904.0</v>
      </c>
      <c r="P25" s="1">
        <v>872.0</v>
      </c>
    </row>
    <row r="26">
      <c r="C26" s="3">
        <f t="shared" ref="C26:P26" si="1">STDEV(C23:C25)</f>
        <v>0.5773502692</v>
      </c>
      <c r="D26" s="3">
        <f t="shared" si="1"/>
        <v>4.932882862</v>
      </c>
      <c r="E26" s="3">
        <f t="shared" si="1"/>
        <v>0.5773502692</v>
      </c>
      <c r="F26" s="3">
        <f t="shared" si="1"/>
        <v>0.5773502692</v>
      </c>
      <c r="G26" s="3">
        <f t="shared" si="1"/>
        <v>0</v>
      </c>
      <c r="H26" s="3">
        <f t="shared" si="1"/>
        <v>0.5773502692</v>
      </c>
      <c r="I26" s="3">
        <f t="shared" si="1"/>
        <v>0</v>
      </c>
      <c r="J26" s="3">
        <f t="shared" si="1"/>
        <v>0</v>
      </c>
      <c r="K26" s="3">
        <f t="shared" si="1"/>
        <v>0.5773502692</v>
      </c>
      <c r="L26" s="3">
        <f t="shared" si="1"/>
        <v>0</v>
      </c>
      <c r="M26" s="3">
        <f t="shared" si="1"/>
        <v>2</v>
      </c>
      <c r="N26" s="3">
        <f t="shared" si="1"/>
        <v>0.5773502692</v>
      </c>
      <c r="O26" s="3">
        <f t="shared" si="1"/>
        <v>0</v>
      </c>
      <c r="P26" s="3">
        <f t="shared" si="1"/>
        <v>0</v>
      </c>
      <c r="Q26" s="3">
        <f>AVERAGE(C26:P26)</f>
        <v>0.7426417484</v>
      </c>
      <c r="R26" s="1">
        <v>6.0</v>
      </c>
    </row>
  </sheetData>
  <drawing r:id="rId1"/>
</worksheet>
</file>